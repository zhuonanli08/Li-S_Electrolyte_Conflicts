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e623695e047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讨论总览" sheetId="1" r:id="R2e920e81175b4a46"/>
    <x:sheet xmlns:r="http://schemas.openxmlformats.org/officeDocument/2006/relationships" name="P0核心字段" sheetId="2" r:id="R5533b1374c37413e"/>
    <x:sheet xmlns:r="http://schemas.openxmlformats.org/officeDocument/2006/relationships" name="P1P2扩展字段" sheetId="3" r:id="R55813c2423db4516"/>
    <x:sheet xmlns:r="http://schemas.openxmlformats.org/officeDocument/2006/relationships" name="通用记录与溯源" sheetId="4" r:id="Ra6465d63382e43d5"/>
    <x:sheet xmlns:r="http://schemas.openxmlformats.org/officeDocument/2006/relationships" name="填写示例" sheetId="5" r:id="R4b3b75ad89cd4d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7">
    <x:font>
      <x:sz val="11"/>
      <x:name val="Carlito"/>
    </x:font>
    <x:font>
      <x:b/>
      <x:sz val="15"/>
      <x:color rgb="FF233D58"/>
      <x:name val="Microsoft YaHei"/>
    </x:font>
    <x:font>
      <x:sz val="11"/>
      <x:color rgb="FF233D58"/>
      <x:name val="Microsoft YaHei"/>
    </x:font>
    <x:font>
      <x:sz val="11"/>
      <x:color rgb="FF22313F"/>
      <x:name val="Microsoft YaHei"/>
    </x:font>
    <x:font>
      <x:b/>
      <x:sz val="11"/>
      <x:color rgb="FFFFFFFF"/>
      <x:name val="Microsoft YaHei"/>
    </x:font>
    <x:font>
      <x:b/>
      <x:sz val="13"/>
      <x:color rgb="FF233D58"/>
      <x:name val="Microsoft YaHei"/>
    </x:font>
    <x:font>
      <x:b/>
      <x:sz val="11"/>
      <x:color rgb="FF22313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33D58"/>
      </x:patternFill>
    </x:fill>
    <x:fill>
      <x:patternFill patternType="solid">
        <x:fgColor rgb="FFFFFFFF"/>
      </x:patternFill>
    </x:fill>
    <x:fill>
      <x:patternFill patternType="solid">
        <x:fgColor rgb="FFEEF3F8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200" fontId="3" fillId="3" borderId="0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vertical="top" wrapText="1"/>
    </x:xf>
    <x:xf numFmtId="201" fontId="3" fillId="3" borderId="0" xfId="0" applyNumberFormat="1" applyFont="1" applyFill="1" applyBorder="1" applyAlignment="1">
      <x:alignment vertical="top" wrapText="1"/>
    </x:xf>
    <x:xf numFmtId="201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3b92772a2844d8" /><Relationship Type="http://schemas.openxmlformats.org/officeDocument/2006/relationships/theme" Target="/xl/theme/theme1.xml" Id="R947b2e0fe3ea4f10" /><Relationship Type="http://schemas.openxmlformats.org/officeDocument/2006/relationships/sharedStrings" Target="/xl/sharedStrings.xml" Id="Ra402371502274c31" /><Relationship Type="http://schemas.openxmlformats.org/officeDocument/2006/relationships/worksheet" Target="/xl/worksheets/sheet1.xml" Id="R2e920e81175b4a46" /><Relationship Type="http://schemas.openxmlformats.org/officeDocument/2006/relationships/worksheet" Target="/xl/worksheets/sheet2.xml" Id="R5533b1374c37413e" /><Relationship Type="http://schemas.openxmlformats.org/officeDocument/2006/relationships/worksheet" Target="/xl/worksheets/sheet3.xml" Id="R55813c2423db4516" /><Relationship Type="http://schemas.openxmlformats.org/officeDocument/2006/relationships/worksheet" Target="/xl/worksheets/sheet4.xml" Id="Ra6465d63382e43d5" /><Relationship Type="http://schemas.openxmlformats.org/officeDocument/2006/relationships/worksheet" Target="/xl/worksheets/sheet5.xml" Id="R4b3b75ad89cd4d56" /></Relationships>
</file>

<file path=xl/tables/table1.xml><?xml version="1.0" encoding="utf-8"?>
<x:table xmlns:x="http://schemas.openxmlformats.org/spreadsheetml/2006/main" id="1" name="ScopeReview" displayName="ScopeReview" ref="A6:G14" headerRowCount="1" totalsRowCount="0" totalsRowShown="0">
  <x:autoFilter ref="A6:G14"/>
  <x:tableColumns count="7">
    <x:tableColumn id="1" name="讨论对象"/>
    <x:tableColumn id="2" name="代表内容"/>
    <x:tableColumn id="3" name="在研究中的角色"/>
    <x:tableColumn id="4" name="原方案范围"/>
    <x:tableColumn id="5" name="本次精简建议"/>
    <x:tableColumn id="6" name="组别决定"/>
    <x:tableColumn id="7" name="讨论意见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CoreFields" displayName="CoreFields" ref="A6:J72" headerRowCount="1" totalsRowCount="0" totalsRowShown="0">
  <x:autoFilter ref="A6:J72"/>
  <x:tableColumns count="10">
    <x:tableColumn id="1" name="类别／角色"/>
    <x:tableColumn id="2" name="拟提字段（中文表头）"/>
    <x:tableColumn id="3" name="现行优先级"/>
    <x:tableColumn id="4" name="含义与填写边界"/>
    <x:tableColumn id="5" name="填写示例（本页均为演示）"/>
    <x:tableColumn id="6" name="单位／格式"/>
    <x:tableColumn id="7" name="研究用途"/>
    <x:tableColumn id="8" name="精简建议（待讨论）"/>
    <x:tableColumn id="9" name="讨论决定"/>
    <x:tableColumn id="10" name="师兄／本人意见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ExtendedFields" displayName="ExtendedFields" ref="A6:J54" headerRowCount="1" totalsRowCount="0" totalsRowShown="0">
  <x:autoFilter ref="A6:J54"/>
  <x:tableColumns count="10">
    <x:tableColumn id="1" name="类别／角色"/>
    <x:tableColumn id="2" name="拟提字段（中文表头）"/>
    <x:tableColumn id="3" name="现行优先级"/>
    <x:tableColumn id="4" name="含义与填写边界"/>
    <x:tableColumn id="5" name="填写示例（本页均为演示）"/>
    <x:tableColumn id="6" name="单位／格式"/>
    <x:tableColumn id="7" name="研究用途"/>
    <x:tableColumn id="8" name="精简建议（待讨论）"/>
    <x:tableColumn id="9" name="讨论决定"/>
    <x:tableColumn id="10" name="师兄／本人意见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MetadataFields" displayName="MetadataFields" ref="A6:J58" headerRowCount="1" totalsRowCount="0" totalsRowShown="0">
  <x:autoFilter ref="A6:J58"/>
  <x:tableColumns count="10">
    <x:tableColumn id="1" name="类别／角色"/>
    <x:tableColumn id="2" name="拟提字段（中文表头）"/>
    <x:tableColumn id="3" name="现行优先级"/>
    <x:tableColumn id="4" name="含义与填写边界"/>
    <x:tableColumn id="5" name="填写示例（本页均为演示）"/>
    <x:tableColumn id="6" name="单位／格式"/>
    <x:tableColumn id="7" name="研究用途"/>
    <x:tableColumn id="8" name="精简建议（待讨论）"/>
    <x:tableColumn id="9" name="讨论决定"/>
    <x:tableColumn id="10" name="师兄／本人意见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ActualSystemExample" displayName="ActualSystemExample" ref="A7:F11" headerRowCount="1" totalsRowCount="0" totalsRowShown="0">
  <x:autoFilter ref="A7:F11"/>
  <x:tableColumns count="6">
    <x:tableColumn id="1" name="文献／用途"/>
    <x:tableColumn id="2" name="主要组成"/>
    <x:tableColumn id="3" name="盐／添加剂／LiPS差异"/>
    <x:tableColumn id="4" name="测量对象"/>
    <x:tableColumn id="5" name="数值或状态"/>
    <x:tableColumn id="6" name="填写时需要注意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LongObservationExample" displayName="LongObservationExample" ref="A17:F23" headerRowCount="1" totalsRowCount="0" totalsRowShown="0">
  <x:autoFilter ref="A17:F23"/>
  <x:tableColumns count="6">
    <x:tableColumn id="1" name="观测ID"/>
    <x:tableColumn id="2" name="配方／测试"/>
    <x:tableColumn id="3" name="性质名称"/>
    <x:tableColumn id="4" name="圈数"/>
    <x:tableColumn id="5" name="数值"/>
    <x:tableColumn id="6" name="单位／缺失说明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CalculationExample" displayName="CalculationExample" ref="A27:F31" headerRowCount="1" totalsRowCount="0" totalsRowShown="0">
  <x:autoFilter ref="A27:F31"/>
  <x:tableColumns count="6">
    <x:tableColumn id="1" name="计算项"/>
    <x:tableColumn id="2" name="输入1"/>
    <x:tableColumn id="3" name="输入2"/>
    <x:tableColumn id="4" name="计算结果"/>
    <x:tableColumn id="5" name="结果单位"/>
    <x:tableColumn id="6" name="输入和含义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MissingExamples" displayName="MissingExamples" ref="A37:F43" headerRowCount="1" totalsRowCount="0" totalsRowShown="0">
  <x:autoFilter ref="A37:F43"/>
  <x:tableColumns count="6">
    <x:tableColumn id="1" name="场景"/>
    <x:tableColumn id="2" name="数值格"/>
    <x:tableColumn id="3" name="缺失／状态"/>
    <x:tableColumn id="4" name="出处"/>
    <x:tableColumn id="5" name="来源类别"/>
    <x:tableColumn id="6" name="说明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8d58adaa0b40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54a41323714b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9c878843ab4c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53e48ea67194f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b0bb7e9262245ef" /><Relationship Type="http://schemas.openxmlformats.org/officeDocument/2006/relationships/table" Target="/xl/tables/table6.xml" Id="R2f1d5dc616a6496e" /><Relationship Type="http://schemas.openxmlformats.org/officeDocument/2006/relationships/table" Target="/xl/tables/table7.xml" Id="R64e6a2b9e55e4a4e" /><Relationship Type="http://schemas.openxmlformats.org/officeDocument/2006/relationships/table" Target="/xl/tables/table8.xml" Id="Rd112c9eac11841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35" hidden="0" customWidth="1"/>
    <x:col min="3" max="3" width="36.25" hidden="0" customWidth="1"/>
    <x:col min="4" max="4" width="36.25" hidden="0" customWidth="1"/>
    <x:col min="5" max="5" width="35" hidden="0" customWidth="1"/>
    <x:col min="6" max="6" width="13.75" hidden="0" customWidth="1"/>
    <x:col min="7" max="7" width="32.5" hidden="0" customWidth="1"/>
  </x:cols>
  <x:sheetData>
    <x:row r="2">
      <x:c r="A2" s="1" t="str">
        <x:v>锂硫电解液数据库｜字段讨论稿</x:v>
      </x:c>
    </x:row>
    <x:row r="3">
      <x:c r="A3" s="2" t="str">
        <x:v>2026-10-22 · 依据10月21日方案制作；供与师兄讨论字段范围和工作量，精简建议尚未冻结。</x:v>
      </x:c>
    </x:row>
    <x:row r="4">
      <x:c r="A4" s="2" t="str">
        <x:v>阅读顺序：先决定下面各组的范围，再在字段页逐项选择保留/简化/后置/删除。黄色单元格可填写。</x:v>
      </x:c>
    </x:row>
    <x:row r="6" ht="32" customHeight="1">
      <x:c r="A6" s="9" t="str">
        <x:v>讨论对象</x:v>
      </x:c>
      <x:c r="B6" s="9" t="str">
        <x:v>代表内容</x:v>
      </x:c>
      <x:c r="C6" s="9" t="str">
        <x:v>在研究中的角色</x:v>
      </x:c>
      <x:c r="D6" s="9" t="str">
        <x:v>原方案范围</x:v>
      </x:c>
      <x:c r="E6" s="9" t="str">
        <x:v>本次精简建议</x:v>
      </x:c>
      <x:c r="F6" s="9" t="str">
        <x:v>组别决定</x:v>
      </x:c>
      <x:c r="G6" s="9" t="str">
        <x:v>讨论意见</x:v>
      </x:c>
    </x:row>
    <x:row r="7" ht="48" customHeight="1">
      <x:c r="A7" s="10" t="str">
        <x:v>配方组成</x:v>
      </x:c>
      <x:c r="B7" s="10" t="str">
        <x:v>溶剂、盐、LiNO₃、比例和基准</x:v>
      </x:c>
      <x:c r="C7" s="10" t="str">
        <x:v>研究中可改变的设计变量</x:v>
      </x:c>
      <x:c r="D7" s="10" t="str">
        <x:v>P0：每篇必查</x:v>
      </x:c>
      <x:c r="E7" s="10" t="str">
        <x:v>优先保留；一次记录，多测试共用</x:v>
      </x:c>
      <x:c r="F7" s="12" t="str">
        <x:v>待讨论</x:v>
      </x:c>
      <x:c r="G7" s="12" t="str"/>
    </x:row>
    <x:row r="8" ht="48" customHeight="1">
      <x:c r="A8" s="11" t="str">
        <x:v>实际体系与测试条件</x:v>
      </x:c>
      <x:c r="B8" s="11" t="str">
        <x:v>样品映射、载量、E/S、锂量、倍率等</x:v>
      </x:c>
      <x:c r="C8" s="11" t="str">
        <x:v>用于匹配条件和控制混杂</x:v>
      </x:c>
      <x:c r="D8" s="11" t="str">
        <x:v>P0：每篇必查</x:v>
      </x:c>
      <x:c r="E8" s="11" t="str">
        <x:v>保留关键条件；允许真实缺失</x:v>
      </x:c>
      <x:c r="F8" s="12" t="str">
        <x:v>待讨论</x:v>
      </x:c>
      <x:c r="G8" s="12" t="str"/>
    </x:row>
    <x:row r="9" ht="48" customHeight="1">
      <x:c r="A9" s="10" t="str">
        <x:v>性能与同篇A/B</x:v>
      </x:c>
      <x:c r="B9" s="10" t="str">
        <x:v>容量、保持率、终点、CE、可比性</x:v>
      </x:c>
      <x:c r="C9" s="10" t="str">
        <x:v>结果变量和派生比较</x:v>
      </x:c>
      <x:c r="D9" s="10" t="str">
        <x:v>P0：已报告性能及取值点照存</x:v>
      </x:c>
      <x:c r="E9" s="10" t="str">
        <x:v>保留；具体分析可只选预先定义终点</x:v>
      </x:c>
      <x:c r="F9" s="12" t="str">
        <x:v>待讨论</x:v>
      </x:c>
      <x:c r="G9" s="12" t="str"/>
    </x:row>
    <x:row r="10" ht="48" customHeight="1">
      <x:c r="A10" s="11" t="str">
        <x:v>常用物性与溶剂化</x:v>
      </x:c>
      <x:c r="B10" s="11" t="str">
        <x:v>配位、离子缔合、溶解度、传输</x:v>
      </x:c>
      <x:c r="C10" s="11" t="str">
        <x:v>候选解释特征</x:v>
      </x:c>
      <x:c r="D10" s="11" t="str">
        <x:v>P1：全库检查可得性，有则提</x:v>
      </x:c>
      <x:c r="E10" s="11" t="str">
        <x:v>先看覆盖率，再决定进入哪些关联分析</x:v>
      </x:c>
      <x:c r="F10" s="12" t="str">
        <x:v>待讨论</x:v>
      </x:c>
      <x:c r="G10" s="12" t="str"/>
    </x:row>
    <x:row r="11" ht="48" customHeight="1">
      <x:c r="A11" s="10" t="str">
        <x:v>结构与外部代理</x:v>
      </x:c>
      <x:c r="B11" s="10" t="str">
        <x:v>SMILES、DN/AN、O/C、F/C等</x:v>
      </x:c>
      <x:c r="C11" s="10" t="str">
        <x:v>组分层面的代理或计算特征</x:v>
      </x:c>
      <x:c r="D11" s="10" t="str">
        <x:v>方案列为可扩展，非每篇必有</x:v>
      </x:c>
      <x:c r="E11" s="10" t="str">
        <x:v>建议后置，不为填满数据库逐篇查表</x:v>
      </x:c>
      <x:c r="F11" s="12" t="str">
        <x:v>待讨论</x:v>
      </x:c>
      <x:c r="G11" s="12" t="str"/>
    </x:row>
    <x:row r="12" ht="48" customHeight="1">
      <x:c r="A12" s="11" t="str">
        <x:v>深层机制与计算描述符</x:v>
      </x:c>
      <x:c r="B12" s="11" t="str">
        <x:v>库存、干预、界面、自由能与能垒</x:v>
      </x:c>
      <x:c r="C12" s="11" t="str">
        <x:v>过程诊断或机制证据</x:v>
      </x:c>
      <x:c r="D12" s="11" t="str">
        <x:v>P2：关键论文深入</x:v>
      </x:c>
      <x:c r="E12" s="11" t="str">
        <x:v>保留插槽；暂不要求全库逐项补齐</x:v>
      </x:c>
      <x:c r="F12" s="12" t="str">
        <x:v>待讨论</x:v>
      </x:c>
      <x:c r="G12" s="12" t="str"/>
    </x:row>
    <x:row r="13" ht="48" customHeight="1">
      <x:c r="A13" s="10" t="str">
        <x:v>出处与记录管理</x:v>
      </x:c>
      <x:c r="B13" s="10" t="str">
        <x:v>文献ID、原句、缺失、来源、模型参数</x:v>
      </x:c>
      <x:c r="C13" s="10" t="str">
        <x:v>数据管理与可追溯信息</x:v>
      </x:c>
      <x:c r="D13" s="10" t="str">
        <x:v>随适用记录填写</x:v>
      </x:c>
      <x:c r="E13" s="10" t="str">
        <x:v>系统自动维护尽可能多项；不算模型输入维度</x:v>
      </x:c>
      <x:c r="F13" s="12" t="str">
        <x:v>待讨论</x:v>
      </x:c>
      <x:c r="G13" s="12" t="str"/>
    </x:row>
    <x:row r="14" ht="48" customHeight="1">
      <x:c r="A14" s="11" t="str">
        <x:v>CEI范围</x:v>
      </x:c>
      <x:c r="B14" s="11" t="str">
        <x:v>是否纳入正极界面证据</x:v>
      </x:c>
      <x:c r="C14" s="11" t="str">
        <x:v>潜在机制扩展</x:v>
      </x:c>
      <x:c r="D14" s="11" t="str">
        <x:v>现行方案待定</x:v>
      </x:c>
      <x:c r="E14" s="11" t="str">
        <x:v>此次只列候选，不视为已批准</x:v>
      </x:c>
      <x:c r="F14" s="12" t="str">
        <x:v>待讨论</x:v>
      </x:c>
      <x:c r="G14" s="12" t="str"/>
    </x:row>
    <x:row r="17">
      <x:c r="A17" s="13" t="str">
        <x:v>怎样理解字段数量</x:v>
      </x:c>
    </x:row>
    <x:row r="19" ht="34" customHeight="1">
      <x:c r="A19" s="16" t="str">
        <x:v>字段条目不是输入维度</x:v>
      </x:c>
      <x:c r="B19" s="15" t="str">
        <x:v>本稿：核心66项、扩展48项、通用记录52项；按语义展开，部分条件按适用情况填写。</x:v>
      </x:c>
      <x:c r="C19" s="15"/>
      <x:c r="D19" s="15"/>
      <x:c r="E19" s="15"/>
      <x:c r="F19" s="15"/>
      <x:c r="G19" s="15"/>
    </x:row>
    <x:row r="20" ht="34" customHeight="1">
      <x:c r="A20" s="16" t="str">
        <x:v>一条观测是什么</x:v>
      </x:c>
      <x:c r="B20" s="15" t="str">
        <x:v>同一体系、同一方法、同一性质、同一取值点的一项结果；100圈和200圈容量分别两条。</x:v>
      </x:c>
      <x:c r="C20" s="15"/>
      <x:c r="D20" s="15"/>
      <x:c r="E20" s="15"/>
      <x:c r="F20" s="15"/>
      <x:c r="G20" s="15"/>
    </x:row>
    <x:row r="21" ht="34" customHeight="1">
      <x:c r="A21" s="16" t="str">
        <x:v>哪些不是自变量</x:v>
      </x:c>
      <x:c r="B21" s="15" t="str">
        <x:v>容量/寿命是结果；循环后SEI和残余库存是过程或诊断；ID和出处是管理信息。</x:v>
      </x:c>
      <x:c r="C21" s="15"/>
      <x:c r="D21" s="15"/>
      <x:c r="E21" s="15"/>
      <x:c r="F21" s="15"/>
      <x:c r="G21" s="15"/>
    </x:row>
    <x:row r="22" ht="34" customHeight="1">
      <x:c r="A22" s="16" t="str">
        <x:v>如何处理缺失</x:v>
      </x:c>
      <x:c r="B22" s="15" t="str">
        <x:v>检查后未报告就保留缺失。温度未知不填25°C；未写LiNO₃不填0。</x:v>
      </x:c>
      <x:c r="C22" s="15"/>
      <x:c r="D22" s="15"/>
      <x:c r="E22" s="15"/>
      <x:c r="F22" s="15"/>
      <x:c r="G22" s="15"/>
    </x:row>
    <x:row r="23" ht="34" customHeight="1">
      <x:c r="A23" s="16" t="str">
        <x:v>精简的讨论主线</x:v>
      </x:c>
      <x:c r="B23" s="15" t="str">
        <x:v>先保留配方—体系—条件—性能—出处的骨架；P1有则提；P2按机制问题深入。</x:v>
      </x:c>
      <x:c r="C23" s="15"/>
      <x:c r="D23" s="15"/>
      <x:c r="E23" s="15"/>
      <x:c r="F23" s="15"/>
      <x:c r="G23" s="15"/>
    </x:row>
    <x:row r="24" ht="34" customHeight="1">
      <x:c r="A24" s="16" t="str">
        <x:v>实施状态</x:v>
      </x:c>
      <x:c r="B24" s="15" t="str">
        <x:v>这是一份可审阅字段表与示例，尚未将53篇迁移到新结构，也未冻结正式字段代码。</x:v>
      </x:c>
      <x:c r="C24" s="15"/>
      <x:c r="D24" s="15"/>
      <x:c r="E24" s="15"/>
      <x:c r="F24" s="15"/>
      <x:c r="G24" s="15"/>
    </x:row>
    <x:row r="25" ht="34" customHeight="1">
      <x:c r="A25" s="16" t="str">
        <x:v>现有Schema与本表</x:v>
      </x:c>
      <x:c r="B25" s="15" t="str">
        <x:v>Schema定义八个模块及通用值结构；条件键和性质代码尚未穷举。本表把科学字段用中文展开。</x:v>
      </x:c>
      <x:c r="C25" s="15"/>
      <x:c r="D25" s="15"/>
      <x:c r="E25" s="15"/>
      <x:c r="F25" s="15"/>
      <x:c r="G25" s="15"/>
    </x:row>
    <x:row r="26" ht="34" customHeight="1">
      <x:c r="A26" s="16" t="str">
        <x:v>来源位置</x:v>
      </x:c>
      <x:c r="B26" s="15" t="str">
        <x:v>课题二_锂硫电解液矛盾归因_课题方案.md §5.6、§15.1；output/统一数据库设计/unified_extraction.schema.json</x:v>
      </x:c>
      <x:c r="C26" s="15"/>
      <x:c r="D26" s="15"/>
      <x:c r="E26" s="15"/>
      <x:c r="F26" s="15"/>
      <x:c r="G26" s="15"/>
    </x:row>
    <x:row r="27" ht="34" customHeight="1">
      <x:c r="A27" s="16" t="str">
        <x:v>真实示例来源</x:v>
      </x:c>
      <x:c r="B27" s="15" t="str">
        <x:v>output/统一数据库设计/S39_关联示例.json；仅复用其中部分AI核对记录，未获逐项人工确认。</x:v>
      </x:c>
      <x:c r="C27" s="15"/>
      <x:c r="D27" s="15"/>
      <x:c r="E27" s="15"/>
      <x:c r="F27" s="15"/>
      <x:c r="G27" s="15"/>
    </x:row>
  </x:sheetData>
  <x:dataValidations count="1">
    <x:dataValidation type="list" sqref="F7:F14">
      <x:formula1>"待讨论,保留,简化,后置,删除"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8d58adaa0b401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.5" hidden="0" customWidth="1"/>
    <x:col min="2" max="2" width="22.5" hidden="0" customWidth="1"/>
    <x:col min="3" max="3" width="13.75" hidden="0" customWidth="1"/>
    <x:col min="4" max="4" width="35" hidden="0" customWidth="1"/>
    <x:col min="5" max="5" width="35.630001068115234" hidden="0" customWidth="1"/>
    <x:col min="6" max="6" width="18.1299991607666" hidden="0" customWidth="1"/>
    <x:col min="7" max="7" width="28.1299991607666" hidden="0" customWidth="1"/>
    <x:col min="8" max="8" width="31.8799991607666" hidden="0" customWidth="1"/>
    <x:col min="9" max="9" width="13.130000114440918" hidden="0" customWidth="1"/>
    <x:col min="10" max="10" width="31.25" hidden="0" customWidth="1"/>
  </x:cols>
  <x:sheetData>
    <x:row r="2">
      <x:c r="A2" s="1" t="str">
        <x:v>P0核心字段</x:v>
      </x:c>
    </x:row>
    <x:row r="3">
      <x:c r="A3" s="2" t="str">
        <x:v>P0：每篇检查并记录缺失；性能、条件与管理信息不都属于解释特征。</x:v>
      </x:c>
    </x:row>
    <x:row r="4">
      <x:c r="A4" s="2" t="str">
        <x:v>示例均为虚构/格式演示，不进入正式数据库；黄色列供讨论填写。未报告的数值留空，并填写缺失原因。</x:v>
      </x:c>
    </x:row>
    <x:row r="6" ht="32" customHeight="1">
      <x:c r="A6" s="9" t="str">
        <x:v>类别／角色</x:v>
      </x:c>
      <x:c r="B6" s="9" t="str">
        <x:v>拟提字段（中文表头）</x:v>
      </x:c>
      <x:c r="C6" s="9" t="str">
        <x:v>现行优先级</x:v>
      </x:c>
      <x:c r="D6" s="9" t="str">
        <x:v>含义与填写边界</x:v>
      </x:c>
      <x:c r="E6" s="9" t="str">
        <x:v>填写示例（本页均为演示）</x:v>
      </x:c>
      <x:c r="F6" s="9" t="str">
        <x:v>单位／格式</x:v>
      </x:c>
      <x:c r="G6" s="9" t="str">
        <x:v>研究用途</x:v>
      </x:c>
      <x:c r="H6" s="9" t="str">
        <x:v>精简建议（待讨论）</x:v>
      </x:c>
      <x:c r="I6" s="9" t="str">
        <x:v>讨论决定</x:v>
      </x:c>
      <x:c r="J6" s="9" t="str">
        <x:v>师兄／本人意见</x:v>
      </x:c>
    </x:row>
    <x:row r="7" ht="48" customHeight="1">
      <x:c r="A7" s="10" t="str">
        <x:v>配方／设计变量</x:v>
      </x:c>
      <x:c r="B7" s="10" t="str">
        <x:v>配方名称</x:v>
      </x:c>
      <x:c r="C7" s="10" t="str">
        <x:v>P0</x:v>
      </x:c>
      <x:c r="D7" s="10" t="str">
        <x:v>作者在论文内使用的配方名称；绑定独立配方ID</x:v>
      </x:c>
      <x:c r="E7" s="10" t="str">
        <x:v>E-A；基础醚系对照</x:v>
      </x:c>
      <x:c r="F7" s="10" t="str">
        <x:v>文本</x:v>
      </x:c>
      <x:c r="G7" s="10" t="str">
        <x:v>连接正文称谓、图例和组成</x:v>
      </x:c>
      <x:c r="H7" s="10" t="str">
        <x:v>保留；名称不作为物性数值</x:v>
      </x:c>
      <x:c r="I7" s="12" t="str">
        <x:v>待讨论</x:v>
      </x:c>
      <x:c r="J7" s="12" t="str"/>
    </x:row>
    <x:row r="8" ht="48" customHeight="1">
      <x:c r="A8" s="11" t="str">
        <x:v>配方／设计变量</x:v>
      </x:c>
      <x:c r="B8" s="11" t="str">
        <x:v>组分名称</x:v>
      </x:c>
      <x:c r="C8" s="11" t="str">
        <x:v>P0</x:v>
      </x:c>
      <x:c r="D8" s="11" t="str">
        <x:v>每个组分单独一条，覆盖溶剂、盐、添加剂等</x:v>
      </x:c>
      <x:c r="E8" s="11" t="str">
        <x:v>DOL；DME；LiTFSI；LiNO₃</x:v>
      </x:c>
      <x:c r="F8" s="11" t="str">
        <x:v>文本</x:v>
      </x:c>
      <x:c r="G8" s="11" t="str">
        <x:v>还原配方组成</x:v>
      </x:c>
      <x:c r="H8" s="11" t="str">
        <x:v>保留；不要只存“优化电解液”</x:v>
      </x:c>
      <x:c r="I8" s="12" t="str">
        <x:v>待讨论</x:v>
      </x:c>
      <x:c r="J8" s="12" t="str"/>
    </x:row>
    <x:row r="9" ht="48" customHeight="1">
      <x:c r="A9" s="10" t="str">
        <x:v>配方／设计变量</x:v>
      </x:c>
      <x:c r="B9" s="10" t="str">
        <x:v>组分角色</x:v>
      </x:c>
      <x:c r="C9" s="10" t="str">
        <x:v>P0</x:v>
      </x:c>
      <x:c r="D9" s="10" t="str">
        <x:v>该组分在此配方中的作用分类</x:v>
      </x:c>
      <x:c r="E9" s="10" t="str">
        <x:v>溶剂／共溶剂／稀释剂／盐／添加剂</x:v>
      </x:c>
      <x:c r="F9" s="10" t="str">
        <x:v>分类</x:v>
      </x:c>
      <x:c r="G9" s="10" t="str">
        <x:v>区分改变了哪类变量</x:v>
      </x:c>
      <x:c r="H9" s="10" t="str">
        <x:v>保留；不确定时如实标记</x:v>
      </x:c>
      <x:c r="I9" s="12" t="str">
        <x:v>待讨论</x:v>
      </x:c>
      <x:c r="J9" s="12" t="str"/>
    </x:row>
    <x:row r="10" ht="48" customHeight="1">
      <x:c r="A10" s="11" t="str">
        <x:v>配方／设计变量</x:v>
      </x:c>
      <x:c r="B10" s="11" t="str">
        <x:v>组分存在状态</x:v>
      </x:c>
      <x:c r="C10" s="11" t="str">
        <x:v>P0</x:v>
      </x:c>
      <x:c r="D10" s="11" t="str">
        <x:v>区分明确加入、明确不加、配方未列出和未知</x:v>
      </x:c>
      <x:c r="E10" s="11" t="str">
        <x:v>LiNO₃：配方未列出</x:v>
      </x:c>
      <x:c r="F10" s="11" t="str">
        <x:v>分类</x:v>
      </x:c>
      <x:c r="G10" s="11" t="str">
        <x:v>避免把未报告误写成0</x:v>
      </x:c>
      <x:c r="H10" s="11" t="str">
        <x:v>保留</x:v>
      </x:c>
      <x:c r="I10" s="12" t="str">
        <x:v>待讨论</x:v>
      </x:c>
      <x:c r="J10" s="12" t="str"/>
    </x:row>
    <x:row r="11" ht="48" customHeight="1">
      <x:c r="A11" s="10" t="str">
        <x:v>配方／设计变量</x:v>
      </x:c>
      <x:c r="B11" s="10" t="str">
        <x:v>组分用量数值</x:v>
      </x:c>
      <x:c r="C11" s="10" t="str">
        <x:v>P0</x:v>
      </x:c>
      <x:c r="D11" s="10" t="str">
        <x:v>单个组分的浓度、比例份数或含量</x:v>
      </x:c>
      <x:c r="E11" s="10" t="str">
        <x:v>LiTFSI：1.0；DOL体积份数：1</x:v>
      </x:c>
      <x:c r="F11" s="10" t="str">
        <x:v>依原文</x:v>
      </x:c>
      <x:c r="G11" s="10" t="str">
        <x:v>重建浓度和配比</x:v>
      </x:c>
      <x:c r="H11" s="10" t="str">
        <x:v>保留；与单位、基准一起读</x:v>
      </x:c>
      <x:c r="I11" s="12" t="str">
        <x:v>待讨论</x:v>
      </x:c>
      <x:c r="J11" s="12" t="str"/>
    </x:row>
    <x:row r="12" ht="48" customHeight="1">
      <x:c r="A12" s="11" t="str">
        <x:v>配方／设计变量</x:v>
      </x:c>
      <x:c r="B12" s="11" t="str">
        <x:v>用量单位</x:v>
      </x:c>
      <x:c r="C12" s="11" t="str">
        <x:v>P0</x:v>
      </x:c>
      <x:c r="D12" s="11" t="str">
        <x:v>浓度或含量的原始单位</x:v>
      </x:c>
      <x:c r="E12" s="11" t="str">
        <x:v>mol/L；mol/kg；wt%；体积份数</x:v>
      </x:c>
      <x:c r="F12" s="11" t="str">
        <x:v>单位文本</x:v>
      </x:c>
      <x:c r="G12" s="11" t="str">
        <x:v>避免M、m、wt%混用</x:v>
      </x:c>
      <x:c r="H12" s="11" t="str">
        <x:v>保留</x:v>
      </x:c>
      <x:c r="I12" s="12" t="str">
        <x:v>待讨论</x:v>
      </x:c>
      <x:c r="J12" s="12" t="str"/>
    </x:row>
    <x:row r="13" ht="48" customHeight="1">
      <x:c r="A13" s="10" t="str">
        <x:v>配方／设计变量</x:v>
      </x:c>
      <x:c r="B13" s="10" t="str">
        <x:v>比例／浓度基准</x:v>
      </x:c>
      <x:c r="C13" s="10" t="str">
        <x:v>P0</x:v>
      </x:c>
      <x:c r="D13" s="10" t="str">
        <x:v>用量分母及比例针对的对象</x:v>
      </x:c>
      <x:c r="E13" s="10" t="str">
        <x:v>DOL:DME=1:1，按预混溶剂体积</x:v>
      </x:c>
      <x:c r="F13" s="10" t="str">
        <x:v>文本</x:v>
      </x:c>
      <x:c r="G13" s="10" t="str">
        <x:v>保证不同配方可比较</x:v>
      </x:c>
      <x:c r="H13" s="10" t="str">
        <x:v>保留</x:v>
      </x:c>
      <x:c r="I13" s="12" t="str">
        <x:v>待讨论</x:v>
      </x:c>
      <x:c r="J13" s="12" t="str"/>
    </x:row>
    <x:row r="14" ht="48" customHeight="1">
      <x:c r="A14" s="11" t="str">
        <x:v>配方／设计变量</x:v>
      </x:c>
      <x:c r="B14" s="11" t="str">
        <x:v>制备步骤</x:v>
      </x:c>
      <x:c r="C14" s="11" t="str">
        <x:v>P0</x:v>
      </x:c>
      <x:c r="D14" s="11" t="str">
        <x:v>影响实际组成的混配顺序或处理</x:v>
      </x:c>
      <x:c r="E14" s="11" t="str">
        <x:v>先混溶剂，再加盐；干燥条件未报告</x:v>
      </x:c>
      <x:c r="F14" s="11" t="str">
        <x:v>文本</x:v>
      </x:c>
      <x:c r="G14" s="11" t="str">
        <x:v>支持配方复现</x:v>
      </x:c>
      <x:c r="H14" s="11" t="str">
        <x:v>保留关键步骤；常规细节可简写</x:v>
      </x:c>
      <x:c r="I14" s="12" t="str">
        <x:v>待讨论</x:v>
      </x:c>
      <x:c r="J14" s="12" t="str"/>
    </x:row>
    <x:row r="15" ht="48" customHeight="1">
      <x:c r="A15" s="10" t="str">
        <x:v>配方／设计变量</x:v>
      </x:c>
      <x:c r="B15" s="10" t="str">
        <x:v>配方完整性</x:v>
      </x:c>
      <x:c r="C15" s="10" t="str">
        <x:v>P0</x:v>
      </x:c>
      <x:c r="D15" s="10" t="str">
        <x:v>原文组成能否完整重建</x:v>
      </x:c>
      <x:c r="E15" s="10" t="str">
        <x:v>部分：添加剂写“少量”，未给含量</x:v>
      </x:c>
      <x:c r="F15" s="10" t="str">
        <x:v>分类＋缺项</x:v>
      </x:c>
      <x:c r="G15" s="10" t="str">
        <x:v>判断可用于哪些分析</x:v>
      </x:c>
      <x:c r="H15" s="10" t="str">
        <x:v>保留</x:v>
      </x:c>
      <x:c r="I15" s="12" t="str">
        <x:v>待讨论</x:v>
      </x:c>
      <x:c r="J15" s="12" t="str"/>
    </x:row>
    <x:row r="16" ht="48" customHeight="1">
      <x:c r="A16" s="11" t="str">
        <x:v>实际体系／关联</x:v>
      </x:c>
      <x:c r="B16" s="11" t="str">
        <x:v>体系用途</x:v>
      </x:c>
      <x:c r="C16" s="11" t="str">
        <x:v>P0</x:v>
      </x:c>
      <x:c r="D16" s="11" t="str">
        <x:v>该份样品实际用于什么实验</x:v>
      </x:c>
      <x:c r="E16" s="11" t="str">
        <x:v>Li–S循环；无盐Li₂S₆溶解试验</x:v>
      </x:c>
      <x:c r="F16" s="11" t="str">
        <x:v>文本</x:v>
      </x:c>
      <x:c r="G16" s="11" t="str">
        <x:v>防止跨实验套用配方</x:v>
      </x:c>
      <x:c r="H16" s="11" t="str">
        <x:v>保留</x:v>
      </x:c>
      <x:c r="I16" s="12" t="str">
        <x:v>待讨论</x:v>
      </x:c>
      <x:c r="J16" s="12" t="str"/>
    </x:row>
    <x:row r="17" ht="48" customHeight="1">
      <x:c r="A17" s="10" t="str">
        <x:v>实际体系／关联</x:v>
      </x:c>
      <x:c r="B17" s="10" t="str">
        <x:v>体系组成差异</x:v>
      </x:c>
      <x:c r="C17" s="10" t="str">
        <x:v>P0</x:v>
      </x:c>
      <x:c r="D17" s="10" t="str">
        <x:v>相对所链接电池配方，盐、添加剂、LiPS有何差异</x:v>
      </x:c>
      <x:c r="E17" s="10" t="str">
        <x:v>溶解试验不含LiTFSI和LiNO₃</x:v>
      </x:c>
      <x:c r="F17" s="10" t="str">
        <x:v>文本</x:v>
      </x:c>
      <x:c r="G17" s="10" t="str">
        <x:v>辨别直接和间接性质证据</x:v>
      </x:c>
      <x:c r="H17" s="10" t="str">
        <x:v>保留；组分明细仍引用配方</x:v>
      </x:c>
      <x:c r="I17" s="12" t="str">
        <x:v>待讨论</x:v>
      </x:c>
      <x:c r="J17" s="12" t="str"/>
    </x:row>
    <x:row r="18" ht="48" customHeight="1">
      <x:c r="A18" s="11" t="str">
        <x:v>实际体系／关联</x:v>
      </x:c>
      <x:c r="B18" s="11" t="str">
        <x:v>体系状态</x:v>
      </x:c>
      <x:c r="C18" s="11" t="str">
        <x:v>P0</x:v>
      </x:c>
      <x:c r="D18" s="11" t="str">
        <x:v>初始、浸泡后或循环后的样品状态</x:v>
      </x:c>
      <x:c r="E18" s="11" t="str">
        <x:v>循环100圈后拆解</x:v>
      </x:c>
      <x:c r="F18" s="11" t="str">
        <x:v>文本</x:v>
      </x:c>
      <x:c r="G18" s="11" t="str">
        <x:v>区分初始特征与过程结果</x:v>
      </x:c>
      <x:c r="H18" s="11" t="str">
        <x:v>保留</x:v>
      </x:c>
      <x:c r="I18" s="12" t="str">
        <x:v>待讨论</x:v>
      </x:c>
      <x:c r="J18" s="12" t="str"/>
    </x:row>
    <x:row r="19" ht="48" customHeight="1">
      <x:c r="A19" s="10" t="str">
        <x:v>实际体系／关联</x:v>
      </x:c>
      <x:c r="B19" s="10" t="str">
        <x:v>与电池体系的对应关系</x:v>
      </x:c>
      <x:c r="C19" s="10" t="str">
        <x:v>P0</x:v>
      </x:c>
      <x:c r="D19" s="10" t="str">
        <x:v>表征/模拟体系能否对应目标电池体系</x:v>
      </x:c>
      <x:c r="E19" s="10" t="str">
        <x:v>完全对应／简化体系／不确定／不适用</x:v>
      </x:c>
      <x:c r="F19" s="10" t="str">
        <x:v>分类</x:v>
      </x:c>
      <x:c r="G19" s="10" t="str">
        <x:v>限定性质—性能关联</x:v>
      </x:c>
      <x:c r="H19" s="10" t="str">
        <x:v>保留；同时写明差异</x:v>
      </x:c>
      <x:c r="I19" s="12" t="str">
        <x:v>待讨论</x:v>
      </x:c>
      <x:c r="J19" s="12" t="str"/>
    </x:row>
    <x:row r="20" ht="48" customHeight="1">
      <x:c r="A20" s="11" t="str">
        <x:v>电池条件／控制变量</x:v>
      </x:c>
      <x:c r="B20" s="11" t="str">
        <x:v>电池类型</x:v>
      </x:c>
      <x:c r="C20" s="11" t="str">
        <x:v>P0</x:v>
      </x:c>
      <x:c r="D20" s="11" t="str">
        <x:v>参与实验的电化学体系</x:v>
      </x:c>
      <x:c r="E20" s="11" t="str">
        <x:v>Li‖S；Li‖Cu；Li‖Li</x:v>
      </x:c>
      <x:c r="F20" s="11" t="str">
        <x:v>分类</x:v>
      </x:c>
      <x:c r="G20" s="11" t="str">
        <x:v>避免将半电池诊断当全电池性能</x:v>
      </x:c>
      <x:c r="H20" s="11" t="str">
        <x:v>保留</x:v>
      </x:c>
      <x:c r="I20" s="12" t="str">
        <x:v>待讨论</x:v>
      </x:c>
      <x:c r="J20" s="12" t="str"/>
    </x:row>
    <x:row r="21" ht="48" customHeight="1">
      <x:c r="A21" s="10" t="str">
        <x:v>电池条件／控制变量</x:v>
      </x:c>
      <x:c r="B21" s="10" t="str">
        <x:v>电池形式</x:v>
      </x:c>
      <x:c r="C21" s="10" t="str">
        <x:v>P0</x:v>
      </x:c>
      <x:c r="D21" s="10" t="str">
        <x:v>扣式、软包等具体构型</x:v>
      </x:c>
      <x:c r="E21" s="10" t="str">
        <x:v>CR2032扣式</x:v>
      </x:c>
      <x:c r="F21" s="10" t="str">
        <x:v>文本</x:v>
      </x:c>
      <x:c r="G21" s="10" t="str">
        <x:v>控制几何与装配差异</x:v>
      </x:c>
      <x:c r="H21" s="10" t="str">
        <x:v>保留</x:v>
      </x:c>
      <x:c r="I21" s="12" t="str">
        <x:v>待讨论</x:v>
      </x:c>
      <x:c r="J21" s="12" t="str"/>
    </x:row>
    <x:row r="22" ht="48" customHeight="1">
      <x:c r="A22" s="11" t="str">
        <x:v>电池条件／控制变量</x:v>
      </x:c>
      <x:c r="B22" s="11" t="str">
        <x:v>正极类型</x:v>
      </x:c>
      <x:c r="C22" s="11" t="str">
        <x:v>P0</x:v>
      </x:c>
      <x:c r="D22" s="11" t="str">
        <x:v>活性物质与正极体系类别</x:v>
      </x:c>
      <x:c r="E22" s="11" t="str">
        <x:v>硫碳；SPAN；Li₂S；溶液正极</x:v>
      </x:c>
      <x:c r="F22" s="11" t="str">
        <x:v>分类</x:v>
      </x:c>
      <x:c r="G22" s="11" t="str">
        <x:v>划定主层与非主层</x:v>
      </x:c>
      <x:c r="H22" s="11" t="str">
        <x:v>保留</x:v>
      </x:c>
      <x:c r="I22" s="12" t="str">
        <x:v>待讨论</x:v>
      </x:c>
      <x:c r="J22" s="12" t="str"/>
    </x:row>
    <x:row r="23" ht="48" customHeight="1">
      <x:c r="A23" s="10" t="str">
        <x:v>电池条件／控制变量</x:v>
      </x:c>
      <x:c r="B23" s="10" t="str">
        <x:v>正极载体</x:v>
      </x:c>
      <x:c r="C23" s="10" t="str">
        <x:v>P0</x:v>
      </x:c>
      <x:c r="D23" s="10" t="str">
        <x:v>承载硫的材料</x:v>
      </x:c>
      <x:c r="E23" s="10" t="str">
        <x:v>多孔碳</x:v>
      </x:c>
      <x:c r="F23" s="10" t="str">
        <x:v>文本</x:v>
      </x:c>
      <x:c r="G23" s="10" t="str">
        <x:v>控制正极材料混杂</x:v>
      </x:c>
      <x:c r="H23" s="10" t="str">
        <x:v>保留；避免过细编码</x:v>
      </x:c>
      <x:c r="I23" s="12" t="str">
        <x:v>待讨论</x:v>
      </x:c>
      <x:c r="J23" s="12" t="str"/>
    </x:row>
    <x:row r="24" ht="48" customHeight="1">
      <x:c r="A24" s="11" t="str">
        <x:v>电池条件／控制变量</x:v>
      </x:c>
      <x:c r="B24" s="11" t="str">
        <x:v>正极催化剂</x:v>
      </x:c>
      <x:c r="C24" s="11" t="str">
        <x:v>P0</x:v>
      </x:c>
      <x:c r="D24" s="11" t="str">
        <x:v>正极是否含额外催化组分及其身份</x:v>
      </x:c>
      <x:c r="E24" s="11" t="str">
        <x:v>明确无催化剂；或TiN</x:v>
      </x:c>
      <x:c r="F24" s="11" t="str">
        <x:v>文本</x:v>
      </x:c>
      <x:c r="G24" s="11" t="str">
        <x:v>识别电解液以外的改动</x:v>
      </x:c>
      <x:c r="H24" s="11" t="str">
        <x:v>保留；未报告不填“无”</x:v>
      </x:c>
      <x:c r="I24" s="12" t="str">
        <x:v>待讨论</x:v>
      </x:c>
      <x:c r="J24" s="12" t="str"/>
    </x:row>
    <x:row r="25" ht="48" customHeight="1">
      <x:c r="A25" s="10" t="str">
        <x:v>电池条件／控制变量</x:v>
      </x:c>
      <x:c r="B25" s="10" t="str">
        <x:v>硫含量</x:v>
      </x:c>
      <x:c r="C25" s="10" t="str">
        <x:v>P0</x:v>
      </x:c>
      <x:c r="D25" s="10" t="str">
        <x:v>硫占指定对象的质量比例</x:v>
      </x:c>
      <x:c r="E25" s="10" t="str">
        <x:v>70</x:v>
      </x:c>
      <x:c r="F25" s="10" t="str">
        <x:v>wt%</x:v>
      </x:c>
      <x:c r="G25" s="10" t="str">
        <x:v>描述正极组成</x:v>
      </x:c>
      <x:c r="H25" s="10" t="str">
        <x:v>保留；必须另记分母基准</x:v>
      </x:c>
      <x:c r="I25" s="12" t="str">
        <x:v>待讨论</x:v>
      </x:c>
      <x:c r="J25" s="12" t="str"/>
    </x:row>
    <x:row r="26" ht="48" customHeight="1">
      <x:c r="A26" s="11" t="str">
        <x:v>电池条件／控制变量</x:v>
      </x:c>
      <x:c r="B26" s="11" t="str">
        <x:v>硫含量基准</x:v>
      </x:c>
      <x:c r="C26" s="11" t="str">
        <x:v>P0</x:v>
      </x:c>
      <x:c r="D26" s="11" t="str">
        <x:v>硫含量按复合材料还是整片正极计算</x:v>
      </x:c>
      <x:c r="E26" s="11" t="str">
        <x:v>按硫碳复合物质量</x:v>
      </x:c>
      <x:c r="F26" s="11" t="str">
        <x:v>文本</x:v>
      </x:c>
      <x:c r="G26" s="11" t="str">
        <x:v>防止含量口径混用</x:v>
      </x:c>
      <x:c r="H26" s="11" t="str">
        <x:v>保留</x:v>
      </x:c>
      <x:c r="I26" s="12" t="str">
        <x:v>待讨论</x:v>
      </x:c>
      <x:c r="J26" s="12" t="str"/>
    </x:row>
    <x:row r="27" ht="48" customHeight="1">
      <x:c r="A27" s="10" t="str">
        <x:v>电池条件／控制变量</x:v>
      </x:c>
      <x:c r="B27" s="10" t="str">
        <x:v>硫载量</x:v>
      </x:c>
      <x:c r="C27" s="10" t="str">
        <x:v>P0</x:v>
      </x:c>
      <x:c r="D27" s="10" t="str">
        <x:v>单位正极面积上的硫质量</x:v>
      </x:c>
      <x:c r="E27" s="10" t="str">
        <x:v>4.0</x:v>
      </x:c>
      <x:c r="F27" s="10" t="str">
        <x:v>mg-S/cm²</x:v>
      </x:c>
      <x:c r="G27" s="10" t="str">
        <x:v>评价实用条件与反应负担</x:v>
      </x:c>
      <x:c r="H27" s="10" t="str">
        <x:v>保留</x:v>
      </x:c>
      <x:c r="I27" s="12" t="str">
        <x:v>待讨论</x:v>
      </x:c>
      <x:c r="J27" s="12" t="str"/>
    </x:row>
    <x:row r="28" ht="48" customHeight="1">
      <x:c r="A28" s="11" t="str">
        <x:v>电池条件／控制变量</x:v>
      </x:c>
      <x:c r="B28" s="11" t="str">
        <x:v>单片硫质量</x:v>
      </x:c>
      <x:c r="C28" s="11" t="str">
        <x:v>P0</x:v>
      </x:c>
      <x:c r="D28" s="11" t="str">
        <x:v>一片正极中的硫总质量</x:v>
      </x:c>
      <x:c r="E28" s="11" t="str">
        <x:v>4.0</x:v>
      </x:c>
      <x:c r="F28" s="11" t="str">
        <x:v>mg-S</x:v>
      </x:c>
      <x:c r="G28" s="11" t="str">
        <x:v>计算E/S和总容量</x:v>
      </x:c>
      <x:c r="H28" s="11" t="str">
        <x:v>保留；可由可靠输入计算</x:v>
      </x:c>
      <x:c r="I28" s="12" t="str">
        <x:v>待讨论</x:v>
      </x:c>
      <x:c r="J28" s="12" t="str"/>
    </x:row>
    <x:row r="29" ht="48" customHeight="1">
      <x:c r="A29" s="10" t="str">
        <x:v>电池条件／控制变量</x:v>
      </x:c>
      <x:c r="B29" s="10" t="str">
        <x:v>正极有效面积</x:v>
      </x:c>
      <x:c r="C29" s="10" t="str">
        <x:v>P0</x:v>
      </x:c>
      <x:c r="D29" s="10" t="str">
        <x:v>用于载量和容量换算的正极面积</x:v>
      </x:c>
      <x:c r="E29" s="10" t="str">
        <x:v>1.0</x:v>
      </x:c>
      <x:c r="F29" s="10" t="str">
        <x:v>cm²</x:v>
      </x:c>
      <x:c r="G29" s="10" t="str">
        <x:v>连接总量与面密度</x:v>
      </x:c>
      <x:c r="H29" s="10" t="str">
        <x:v>保留；不默认极片直径</x:v>
      </x:c>
      <x:c r="I29" s="12" t="str">
        <x:v>待讨论</x:v>
      </x:c>
      <x:c r="J29" s="12" t="str"/>
    </x:row>
    <x:row r="30" ht="48" customHeight="1">
      <x:c r="A30" s="11" t="str">
        <x:v>电池条件／控制变量</x:v>
      </x:c>
      <x:c r="B30" s="11" t="str">
        <x:v>正极直径</x:v>
      </x:c>
      <x:c r="C30" s="11" t="str">
        <x:v>P0</x:v>
      </x:c>
      <x:c r="D30" s="11" t="str">
        <x:v>原文直接报告的圆形极片直径</x:v>
      </x:c>
      <x:c r="E30" s="11" t="str">
        <x:v>12</x:v>
      </x:c>
      <x:c r="F30" s="11" t="str">
        <x:v>mm</x:v>
      </x:c>
      <x:c r="G30" s="11" t="str">
        <x:v>必要时推算面积</x:v>
      </x:c>
      <x:c r="H30" s="11" t="str">
        <x:v>原文有则存；不与面积重复人工计算</x:v>
      </x:c>
      <x:c r="I30" s="12" t="str">
        <x:v>待讨论</x:v>
      </x:c>
      <x:c r="J30" s="12" t="str"/>
    </x:row>
    <x:row r="31" ht="48" customHeight="1">
      <x:c r="A31" s="10" t="str">
        <x:v>电池条件／控制变量</x:v>
      </x:c>
      <x:c r="B31" s="10" t="str">
        <x:v>电解液体积</x:v>
      </x:c>
      <x:c r="C31" s="10" t="str">
        <x:v>P0</x:v>
      </x:c>
      <x:c r="D31" s="10" t="str">
        <x:v>该电池实际加入的电解液量</x:v>
      </x:c>
      <x:c r="E31" s="10" t="str">
        <x:v>20</x:v>
      </x:c>
      <x:c r="F31" s="10" t="str">
        <x:v>µL</x:v>
      </x:c>
      <x:c r="G31" s="10" t="str">
        <x:v>计算E/S和添加剂库存</x:v>
      </x:c>
      <x:c r="H31" s="10" t="str">
        <x:v>保留</x:v>
      </x:c>
      <x:c r="I31" s="12" t="str">
        <x:v>待讨论</x:v>
      </x:c>
      <x:c r="J31" s="12" t="str"/>
    </x:row>
    <x:row r="32" ht="48" customHeight="1">
      <x:c r="A32" s="11" t="str">
        <x:v>电池条件／控制变量</x:v>
      </x:c>
      <x:c r="B32" s="11" t="str">
        <x:v>E/S</x:v>
      </x:c>
      <x:c r="C32" s="11" t="str">
        <x:v>P0</x:v>
      </x:c>
      <x:c r="D32" s="11" t="str">
        <x:v>电解液用量与硫质量之比</x:v>
      </x:c>
      <x:c r="E32" s="11" t="str">
        <x:v>5.0</x:v>
      </x:c>
      <x:c r="F32" s="11" t="str">
        <x:v>µL/mg-S；原文也可为g/g</x:v>
      </x:c>
      <x:c r="G32" s="11" t="str">
        <x:v>比较贫液程度</x:v>
      </x:c>
      <x:c r="H32" s="11" t="str">
        <x:v>保留原单位；换算需密度</x:v>
      </x:c>
      <x:c r="I32" s="12" t="str">
        <x:v>待讨论</x:v>
      </x:c>
      <x:c r="J32" s="12" t="str"/>
    </x:row>
    <x:row r="33" ht="48" customHeight="1">
      <x:c r="A33" s="10" t="str">
        <x:v>电池条件／控制变量</x:v>
      </x:c>
      <x:c r="B33" s="10" t="str">
        <x:v>负极类型</x:v>
      </x:c>
      <x:c r="C33" s="10" t="str">
        <x:v>P0</x:v>
      </x:c>
      <x:c r="D33" s="10" t="str">
        <x:v>金属锂、石墨/硅、无负极等</x:v>
      </x:c>
      <x:c r="E33" s="10" t="str">
        <x:v>金属锂</x:v>
      </x:c>
      <x:c r="F33" s="10" t="str">
        <x:v>分类</x:v>
      </x:c>
      <x:c r="G33" s="10" t="str">
        <x:v>划定主层及锂库存边界</x:v>
      </x:c>
      <x:c r="H33" s="10" t="str">
        <x:v>保留</x:v>
      </x:c>
      <x:c r="I33" s="12" t="str">
        <x:v>待讨论</x:v>
      </x:c>
      <x:c r="J33" s="12" t="str"/>
    </x:row>
    <x:row r="34" ht="48" customHeight="1">
      <x:c r="A34" s="11" t="str">
        <x:v>电池条件／控制变量</x:v>
      </x:c>
      <x:c r="B34" s="11" t="str">
        <x:v>锂厚度</x:v>
      </x:c>
      <x:c r="C34" s="11" t="str">
        <x:v>P0</x:v>
      </x:c>
      <x:c r="D34" s="11" t="str">
        <x:v>装配时金属锂的厚度</x:v>
      </x:c>
      <x:c r="E34" s="11" t="str">
        <x:v>50</x:v>
      </x:c>
      <x:c r="F34" s="11" t="str">
        <x:v>µm</x:v>
      </x:c>
      <x:c r="G34" s="11" t="str">
        <x:v>估算初始名义锂库存</x:v>
      </x:c>
      <x:c r="H34" s="11" t="str">
        <x:v>保留；不能代表循环后可用锂</x:v>
      </x:c>
      <x:c r="I34" s="12" t="str">
        <x:v>待讨论</x:v>
      </x:c>
      <x:c r="J34" s="12" t="str"/>
    </x:row>
    <x:row r="35" ht="48" customHeight="1">
      <x:c r="A35" s="10" t="str">
        <x:v>电池条件／控制变量</x:v>
      </x:c>
      <x:c r="B35" s="10" t="str">
        <x:v>锂有效面积</x:v>
      </x:c>
      <x:c r="C35" s="10" t="str">
        <x:v>P0</x:v>
      </x:c>
      <x:c r="D35" s="10" t="str">
        <x:v>参与容量比计算的锂面积</x:v>
      </x:c>
      <x:c r="E35" s="10" t="str">
        <x:v>1.2</x:v>
      </x:c>
      <x:c r="F35" s="10" t="str">
        <x:v>cm²</x:v>
      </x:c>
      <x:c r="G35" s="10" t="str">
        <x:v>避免默认两极面积相等</x:v>
      </x:c>
      <x:c r="H35" s="10" t="str">
        <x:v>保留；计算N/P时必要</x:v>
      </x:c>
      <x:c r="I35" s="12" t="str">
        <x:v>待讨论</x:v>
      </x:c>
      <x:c r="J35" s="12" t="str"/>
    </x:row>
    <x:row r="36" ht="48" customHeight="1">
      <x:c r="A36" s="11" t="str">
        <x:v>电池条件／控制变量</x:v>
      </x:c>
      <x:c r="B36" s="11" t="str">
        <x:v>初始名义锂容量</x:v>
      </x:c>
      <x:c r="C36" s="11" t="str">
        <x:v>P0</x:v>
      </x:c>
      <x:c r="D36" s="11" t="str">
        <x:v>由锂质量/几何和常数估算的初始容量</x:v>
      </x:c>
      <x:c r="E36" s="11" t="str">
        <x:v>12.4（仅展示格式）</x:v>
      </x:c>
      <x:c r="F36" s="11" t="str">
        <x:v>mAh</x:v>
      </x:c>
      <x:c r="G36" s="11" t="str">
        <x:v>描述锂过量程度</x:v>
      </x:c>
      <x:c r="H36" s="11" t="str">
        <x:v>代码派生；保留输入与常数版本</x:v>
      </x:c>
      <x:c r="I36" s="12" t="str">
        <x:v>待讨论</x:v>
      </x:c>
      <x:c r="J36" s="12" t="str"/>
    </x:row>
    <x:row r="37" ht="48" customHeight="1">
      <x:c r="A37" s="10" t="str">
        <x:v>电池条件／控制变量</x:v>
      </x:c>
      <x:c r="B37" s="10" t="str">
        <x:v>设计N/P</x:v>
      </x:c>
      <x:c r="C37" s="10" t="str">
        <x:v>P0</x:v>
      </x:c>
      <x:c r="D37" s="10" t="str">
        <x:v>负极名义容量与正极理论/设计容量的比</x:v>
      </x:c>
      <x:c r="E37" s="10" t="str">
        <x:v>3.0；正极分母为理论容量</x:v>
      </x:c>
      <x:c r="F37" s="10" t="str">
        <x:v>无量纲</x:v>
      </x:c>
      <x:c r="G37" s="10" t="str">
        <x:v>比较初始设计约束</x:v>
      </x:c>
      <x:c r="H37" s="10" t="str">
        <x:v>有输入再算；基准必须明确</x:v>
      </x:c>
      <x:c r="I37" s="12" t="str">
        <x:v>待讨论</x:v>
      </x:c>
      <x:c r="J37" s="12" t="str"/>
    </x:row>
    <x:row r="38" ht="48" customHeight="1">
      <x:c r="A38" s="11" t="str">
        <x:v>电池条件／控制变量</x:v>
      </x:c>
      <x:c r="B38" s="11" t="str">
        <x:v>实测N/P</x:v>
      </x:c>
      <x:c r="C38" s="11" t="str">
        <x:v>P0</x:v>
      </x:c>
      <x:c r="D38" s="11" t="str">
        <x:v>以某次正极实测容量为分母的容量比</x:v>
      </x:c>
      <x:c r="E38" s="11" t="str">
        <x:v>4.2；分母为第5圈实测容量</x:v>
      </x:c>
      <x:c r="F38" s="11" t="str">
        <x:v>无量纲</x:v>
      </x:c>
      <x:c r="G38" s="11" t="str">
        <x:v>描述特定测试的容量配置</x:v>
      </x:c>
      <x:c r="H38" s="11" t="str">
        <x:v>与设计N/P分开；不作容量预测的先验输入</x:v>
      </x:c>
      <x:c r="I38" s="12" t="str">
        <x:v>待讨论</x:v>
      </x:c>
      <x:c r="J38" s="12" t="str"/>
    </x:row>
    <x:row r="39" ht="48" customHeight="1">
      <x:c r="A39" s="10" t="str">
        <x:v>电池条件／控制变量</x:v>
      </x:c>
      <x:c r="B39" s="10" t="str">
        <x:v>隔膜</x:v>
      </x:c>
      <x:c r="C39" s="10" t="str">
        <x:v>P0</x:v>
      </x:c>
      <x:c r="D39" s="10" t="str">
        <x:v>隔膜型号及是否有涂层</x:v>
      </x:c>
      <x:c r="E39" s="10" t="str">
        <x:v>Celgard 2400；无额外涂层</x:v>
      </x:c>
      <x:c r="F39" s="10" t="str">
        <x:v>文本</x:v>
      </x:c>
      <x:c r="G39" s="10" t="str">
        <x:v>检查A/B条件一致性</x:v>
      </x:c>
      <x:c r="H39" s="10" t="str">
        <x:v>保留型号和关键改性</x:v>
      </x:c>
      <x:c r="I39" s="12" t="str">
        <x:v>待讨论</x:v>
      </x:c>
      <x:c r="J39" s="12" t="str"/>
    </x:row>
    <x:row r="40" ht="48" customHeight="1">
      <x:c r="A40" s="11" t="str">
        <x:v>电池条件／控制变量</x:v>
      </x:c>
      <x:c r="B40" s="11" t="str">
        <x:v>测试温度</x:v>
      </x:c>
      <x:c r="C40" s="11" t="str">
        <x:v>P0</x:v>
      </x:c>
      <x:c r="D40" s="11" t="str">
        <x:v>测试实际温度或作者文字</x:v>
      </x:c>
      <x:c r="E40" s="11" t="str">
        <x:v>25；或“室温，数值未报告”</x:v>
      </x:c>
      <x:c r="F40" s="11" t="str">
        <x:v>°C／原文文本</x:v>
      </x:c>
      <x:c r="G40" s="11" t="str">
        <x:v>比较传输和循环条件</x:v>
      </x:c>
      <x:c r="H40" s="11" t="str">
        <x:v>保留；室温不自动填25</x:v>
      </x:c>
      <x:c r="I40" s="12" t="str">
        <x:v>待讨论</x:v>
      </x:c>
      <x:c r="J40" s="12" t="str"/>
    </x:row>
    <x:row r="41" ht="48" customHeight="1">
      <x:c r="A41" s="10" t="str">
        <x:v>电池条件／控制变量</x:v>
      </x:c>
      <x:c r="B41" s="10" t="str">
        <x:v>施加压力</x:v>
      </x:c>
      <x:c r="C41" s="10" t="str">
        <x:v>P0</x:v>
      </x:c>
      <x:c r="D41" s="10" t="str">
        <x:v>装配或测试时明确施加的压力</x:v>
      </x:c>
      <x:c r="E41" s="10" t="str">
        <x:v>0.5</x:v>
      </x:c>
      <x:c r="F41" s="10" t="str">
        <x:v>MPa</x:v>
      </x:c>
      <x:c r="G41" s="10" t="str">
        <x:v>控制接触与软包条件</x:v>
      </x:c>
      <x:c r="H41" s="10" t="str">
        <x:v>必查有无；未报告允许缺失</x:v>
      </x:c>
      <x:c r="I41" s="12" t="str">
        <x:v>待讨论</x:v>
      </x:c>
      <x:c r="J41" s="12" t="str"/>
    </x:row>
    <x:row r="42" ht="48" customHeight="1">
      <x:c r="A42" s="11" t="str">
        <x:v>电池条件／控制变量</x:v>
      </x:c>
      <x:c r="B42" s="11" t="str">
        <x:v>静置／休息时间</x:v>
      </x:c>
      <x:c r="C42" s="11" t="str">
        <x:v>P0</x:v>
      </x:c>
      <x:c r="D42" s="11" t="str">
        <x:v>装配后、循环间等规定休息</x:v>
      </x:c>
      <x:c r="E42" s="11" t="str">
        <x:v>装配后静置12 h</x:v>
      </x:c>
      <x:c r="F42" s="11" t="str">
        <x:v>h／s＋阶段</x:v>
      </x:c>
      <x:c r="G42" s="11" t="str">
        <x:v>控制润湿与松弛影响</x:v>
      </x:c>
      <x:c r="H42" s="11" t="str">
        <x:v>保留关键协议</x:v>
      </x:c>
      <x:c r="I42" s="12" t="str">
        <x:v>待讨论</x:v>
      </x:c>
      <x:c r="J42" s="12" t="str"/>
    </x:row>
    <x:row r="43" ht="48" customHeight="1">
      <x:c r="A43" s="10" t="str">
        <x:v>测试协议／控制变量</x:v>
      </x:c>
      <x:c r="B43" s="10" t="str">
        <x:v>循环倍率</x:v>
      </x:c>
      <x:c r="C43" s="10" t="str">
        <x:v>P0</x:v>
      </x:c>
      <x:c r="D43" s="10" t="str">
        <x:v>某阶段充电或放电倍率</x:v>
      </x:c>
      <x:c r="E43" s="10" t="str">
        <x:v>充电0.5 C；放电0.5 C</x:v>
      </x:c>
      <x:c r="F43" s="10" t="str">
        <x:v>C</x:v>
      </x:c>
      <x:c r="G43" s="10" t="str">
        <x:v>比较性能时匹配测试压力</x:v>
      </x:c>
      <x:c r="H43" s="10" t="str">
        <x:v>充放电不同时分开记录</x:v>
      </x:c>
      <x:c r="I43" s="12" t="str">
        <x:v>待讨论</x:v>
      </x:c>
      <x:c r="J43" s="12" t="str"/>
    </x:row>
    <x:row r="44" ht="48" customHeight="1">
      <x:c r="A44" s="11" t="str">
        <x:v>测试协议／控制变量</x:v>
      </x:c>
      <x:c r="B44" s="11" t="str">
        <x:v>电流密度</x:v>
      </x:c>
      <x:c r="C44" s="11" t="str">
        <x:v>P0</x:v>
      </x:c>
      <x:c r="D44" s="11" t="str">
        <x:v>作者报告的质量或面积归一电流</x:v>
      </x:c>
      <x:c r="E44" s="11" t="str">
        <x:v>0.84</x:v>
      </x:c>
      <x:c r="F44" s="11" t="str">
        <x:v>A/g-S；mA/cm²</x:v>
      </x:c>
      <x:c r="G44" s="11" t="str">
        <x:v>保留真实施加电流口径</x:v>
      </x:c>
      <x:c r="H44" s="11" t="str">
        <x:v>有则存；不盲目互换</x:v>
      </x:c>
      <x:c r="I44" s="12" t="str">
        <x:v>待讨论</x:v>
      </x:c>
      <x:c r="J44" s="12" t="str"/>
    </x:row>
    <x:row r="45" ht="48" customHeight="1">
      <x:c r="A45" s="10" t="str">
        <x:v>测试协议／控制变量</x:v>
      </x:c>
      <x:c r="B45" s="10" t="str">
        <x:v>1C定义</x:v>
      </x:c>
      <x:c r="C45" s="10" t="str">
        <x:v>P0</x:v>
      </x:c>
      <x:c r="D45" s="10" t="str">
        <x:v>作者用于定义倍率的电流基准</x:v>
      </x:c>
      <x:c r="E45" s="10" t="str">
        <x:v>1 C=1675 mA/g-S</x:v>
      </x:c>
      <x:c r="F45" s="10" t="str">
        <x:v>mA/g及基准</x:v>
      </x:c>
      <x:c r="G45" s="10" t="str">
        <x:v>支持倍率换算</x:v>
      </x:c>
      <x:c r="H45" s="10" t="str">
        <x:v>未说明就记缺失</x:v>
      </x:c>
      <x:c r="I45" s="12" t="str">
        <x:v>待讨论</x:v>
      </x:c>
      <x:c r="J45" s="12" t="str"/>
    </x:row>
    <x:row r="46" ht="48" customHeight="1">
      <x:c r="A46" s="11" t="str">
        <x:v>测试协议／控制变量</x:v>
      </x:c>
      <x:c r="B46" s="11" t="str">
        <x:v>下截止电压</x:v>
      </x:c>
      <x:c r="C46" s="11" t="str">
        <x:v>P0</x:v>
      </x:c>
      <x:c r="D46" s="11" t="str">
        <x:v>放电终止电压及参照</x:v>
      </x:c>
      <x:c r="E46" s="11" t="str">
        <x:v>1.7；相对Li⁺/Li</x:v>
      </x:c>
      <x:c r="F46" s="11" t="str">
        <x:v>V</x:v>
      </x:c>
      <x:c r="G46" s="11" t="str">
        <x:v>限定可利用容量</x:v>
      </x:c>
      <x:c r="H46" s="11" t="str">
        <x:v>保留</x:v>
      </x:c>
      <x:c r="I46" s="12" t="str">
        <x:v>待讨论</x:v>
      </x:c>
      <x:c r="J46" s="12" t="str"/>
    </x:row>
    <x:row r="47" ht="48" customHeight="1">
      <x:c r="A47" s="10" t="str">
        <x:v>测试协议／控制变量</x:v>
      </x:c>
      <x:c r="B47" s="10" t="str">
        <x:v>上截止电压</x:v>
      </x:c>
      <x:c r="C47" s="10" t="str">
        <x:v>P0</x:v>
      </x:c>
      <x:c r="D47" s="10" t="str">
        <x:v>充电终止电压及参照</x:v>
      </x:c>
      <x:c r="E47" s="10" t="str">
        <x:v>2.8；相对Li⁺/Li</x:v>
      </x:c>
      <x:c r="F47" s="10" t="str">
        <x:v>V</x:v>
      </x:c>
      <x:c r="G47" s="10" t="str">
        <x:v>限定充电及副反应条件</x:v>
      </x:c>
      <x:c r="H47" s="10" t="str">
        <x:v>保留</x:v>
      </x:c>
      <x:c r="I47" s="12" t="str">
        <x:v>待讨论</x:v>
      </x:c>
      <x:c r="J47" s="12" t="str"/>
    </x:row>
    <x:row r="48" ht="48" customHeight="1">
      <x:c r="A48" s="11" t="str">
        <x:v>测试协议／控制变量</x:v>
      </x:c>
      <x:c r="B48" s="11" t="str">
        <x:v>化成协议</x:v>
      </x:c>
      <x:c r="C48" s="11" t="str">
        <x:v>P0</x:v>
      </x:c>
      <x:c r="D48" s="11" t="str">
        <x:v>正式测试前的活化/预循环步骤</x:v>
      </x:c>
      <x:c r="E48" s="11" t="str">
        <x:v>0.1 C循环3圈，再转0.5 C</x:v>
      </x:c>
      <x:c r="F48" s="11" t="str">
        <x:v>文本</x:v>
      </x:c>
      <x:c r="G48" s="11" t="str">
        <x:v>识别容量基准与阶段</x:v>
      </x:c>
      <x:c r="H48" s="11" t="str">
        <x:v>保留</x:v>
      </x:c>
      <x:c r="I48" s="12" t="str">
        <x:v>待讨论</x:v>
      </x:c>
      <x:c r="J48" s="12" t="str"/>
    </x:row>
    <x:row r="49" ht="48" customHeight="1">
      <x:c r="A49" s="10" t="str">
        <x:v>测试协议／控制变量</x:v>
      </x:c>
      <x:c r="B49" s="10" t="str">
        <x:v>测试系列／重复批次</x:v>
      </x:c>
      <x:c r="C49" s="10" t="str">
        <x:v>P0</x:v>
      </x:c>
      <x:c r="D49" s="10" t="str">
        <x:v>同一组实验及其平行样品归属</x:v>
      </x:c>
      <x:c r="E49" s="10" t="str">
        <x:v>系列T01，电池重复B1/B2/B3</x:v>
      </x:c>
      <x:c r="F49" s="10" t="str">
        <x:v>ID／文本</x:v>
      </x:c>
      <x:c r="G49" s="10" t="str">
        <x:v>避免把同一曲线多点当独立样本</x:v>
      </x:c>
      <x:c r="H49" s="10" t="str">
        <x:v>保留；原文不明则留缺失</x:v>
      </x:c>
      <x:c r="I49" s="12" t="str">
        <x:v>待讨论</x:v>
      </x:c>
      <x:c r="J49" s="12" t="str"/>
    </x:row>
    <x:row r="50" ht="48" customHeight="1">
      <x:c r="A50" s="11" t="str">
        <x:v>性能／结果变量</x:v>
      </x:c>
      <x:c r="B50" s="11" t="str">
        <x:v>比容量</x:v>
      </x:c>
      <x:c r="C50" s="11" t="str">
        <x:v>P0</x:v>
      </x:c>
      <x:c r="D50" s="11" t="str">
        <x:v>已报告的每个指定圈容量</x:v>
      </x:c>
      <x:c r="E50" s="11" t="str">
        <x:v>1000</x:v>
      </x:c>
      <x:c r="F50" s="11" t="str">
        <x:v>mAh/g-S等</x:v>
      </x:c>
      <x:c r="G50" s="11" t="str">
        <x:v>衡量硫利用与容量表现</x:v>
      </x:c>
      <x:c r="H50" s="11" t="str">
        <x:v>保留；每个取值点一条观测</x:v>
      </x:c>
      <x:c r="I50" s="12" t="str">
        <x:v>待讨论</x:v>
      </x:c>
      <x:c r="J50" s="12" t="str"/>
    </x:row>
    <x:row r="51" ht="48" customHeight="1">
      <x:c r="A51" s="10" t="str">
        <x:v>性能／结果变量</x:v>
      </x:c>
      <x:c r="B51" s="10" t="str">
        <x:v>容量归一化基准</x:v>
      </x:c>
      <x:c r="C51" s="10" t="str">
        <x:v>P0</x:v>
      </x:c>
      <x:c r="D51" s="10" t="str">
        <x:v>容量除以什么质量或面积</x:v>
      </x:c>
      <x:c r="E51" s="10" t="str">
        <x:v>按硫质量；非硫碳复合物质量</x:v>
      </x:c>
      <x:c r="F51" s="10" t="str">
        <x:v>文本</x:v>
      </x:c>
      <x:c r="G51" s="10" t="str">
        <x:v>避免不同容量口径混比</x:v>
      </x:c>
      <x:c r="H51" s="10" t="str">
        <x:v>保留</x:v>
      </x:c>
      <x:c r="I51" s="12" t="str">
        <x:v>待讨论</x:v>
      </x:c>
      <x:c r="J51" s="12" t="str"/>
    </x:row>
    <x:row r="52" ht="48" customHeight="1">
      <x:c r="A52" s="11" t="str">
        <x:v>性能／结果变量</x:v>
      </x:c>
      <x:c r="B52" s="11" t="str">
        <x:v>取值圈数／阶段</x:v>
      </x:c>
      <x:c r="C52" s="11" t="str">
        <x:v>P0</x:v>
      </x:c>
      <x:c r="D52" s="11" t="str">
        <x:v>该数值属于哪一圈及何种阶段</x:v>
      </x:c>
      <x:c r="E52" s="11" t="str">
        <x:v>第5圈，化成后</x:v>
      </x:c>
      <x:c r="F52" s="11" t="str">
        <x:v>圈／文本</x:v>
      </x:c>
      <x:c r="G52" s="11" t="str">
        <x:v>对齐A/B比较点</x:v>
      </x:c>
      <x:c r="H52" s="11" t="str">
        <x:v>保留；不默认是首圈</x:v>
      </x:c>
      <x:c r="I52" s="12" t="str">
        <x:v>待讨论</x:v>
      </x:c>
      <x:c r="J52" s="12" t="str"/>
    </x:row>
    <x:row r="53" ht="48" customHeight="1">
      <x:c r="A53" s="10" t="str">
        <x:v>性能／结果变量</x:v>
      </x:c>
      <x:c r="B53" s="10" t="str">
        <x:v>面积容量</x:v>
      </x:c>
      <x:c r="C53" s="10" t="str">
        <x:v>P0</x:v>
      </x:c>
      <x:c r="D53" s="10" t="str">
        <x:v>单位正极面积的容量</x:v>
      </x:c>
      <x:c r="E53" s="10" t="str">
        <x:v>4.0</x:v>
      </x:c>
      <x:c r="F53" s="10" t="str">
        <x:v>mAh/cm²</x:v>
      </x:c>
      <x:c r="G53" s="10" t="str">
        <x:v>评价实际面容量</x:v>
      </x:c>
      <x:c r="H53" s="10" t="str">
        <x:v>原文存；可由容量和载量计算</x:v>
      </x:c>
      <x:c r="I53" s="12" t="str">
        <x:v>待讨论</x:v>
      </x:c>
      <x:c r="J53" s="12" t="str"/>
    </x:row>
    <x:row r="54" ht="48" customHeight="1">
      <x:c r="A54" s="11" t="str">
        <x:v>性能／结果变量</x:v>
      </x:c>
      <x:c r="B54" s="11" t="str">
        <x:v>容量保持率</x:v>
      </x:c>
      <x:c r="C54" s="11" t="str">
        <x:v>P0</x:v>
      </x:c>
      <x:c r="D54" s="11" t="str">
        <x:v>指定终点容量相对指定基准容量之比</x:v>
      </x:c>
      <x:c r="E54" s="11" t="str">
        <x:v>80</x:v>
      </x:c>
      <x:c r="F54" s="11" t="str">
        <x:v>%</x:v>
      </x:c>
      <x:c r="G54" s="11" t="str">
        <x:v>评价持续循环表现</x:v>
      </x:c>
      <x:c r="H54" s="11" t="str">
        <x:v>保留；不能缺基准</x:v>
      </x:c>
      <x:c r="I54" s="12" t="str">
        <x:v>待讨论</x:v>
      </x:c>
      <x:c r="J54" s="12" t="str"/>
    </x:row>
    <x:row r="55" ht="48" customHeight="1">
      <x:c r="A55" s="10" t="str">
        <x:v>性能／结果变量</x:v>
      </x:c>
      <x:c r="B55" s="10" t="str">
        <x:v>保持率基准</x:v>
      </x:c>
      <x:c r="C55" s="10" t="str">
        <x:v>P0</x:v>
      </x:c>
      <x:c r="D55" s="10" t="str">
        <x:v>保持率采用的基准圈或最大容量</x:v>
      </x:c>
      <x:c r="E55" s="10" t="str">
        <x:v>相对第5圈；或相对最大容量</x:v>
      </x:c>
      <x:c r="F55" s="10" t="str">
        <x:v>文本＋圈数</x:v>
      </x:c>
      <x:c r="G55" s="10" t="str">
        <x:v>防止保持率定义不同</x:v>
      </x:c>
      <x:c r="H55" s="10" t="str">
        <x:v>保留</x:v>
      </x:c>
      <x:c r="I55" s="12" t="str">
        <x:v>待讨论</x:v>
      </x:c>
      <x:c r="J55" s="12" t="str"/>
    </x:row>
    <x:row r="56" ht="48" customHeight="1">
      <x:c r="A56" s="11" t="str">
        <x:v>性能／结果变量</x:v>
      </x:c>
      <x:c r="B56" s="11" t="str">
        <x:v>作者报告衰减率</x:v>
      </x:c>
      <x:c r="C56" s="11" t="str">
        <x:v>P0</x:v>
      </x:c>
      <x:c r="D56" s="11" t="str">
        <x:v>作者给出的每圈衰减及算法说明</x:v>
      </x:c>
      <x:c r="E56" s="11" t="str">
        <x:v>0.08；作者未说明计算公式</x:v>
      </x:c>
      <x:c r="F56" s="11" t="str">
        <x:v>%/cycle</x:v>
      </x:c>
      <x:c r="G56" s="11" t="str">
        <x:v>保留论文原始指标</x:v>
      </x:c>
      <x:c r="H56" s="11" t="str">
        <x:v>与本课题计算值分开</x:v>
      </x:c>
      <x:c r="I56" s="12" t="str">
        <x:v>待讨论</x:v>
      </x:c>
      <x:c r="J56" s="12" t="str"/>
    </x:row>
    <x:row r="57" ht="48" customHeight="1">
      <x:c r="A57" s="10" t="str">
        <x:v>性能／结果变量</x:v>
      </x:c>
      <x:c r="B57" s="10" t="str">
        <x:v>统一计算衰减率</x:v>
      </x:c>
      <x:c r="C57" s="10" t="str">
        <x:v>P0</x:v>
      </x:c>
      <x:c r="D57" s="10" t="str">
        <x:v>用明确起终点计算线性或几何衰减</x:v>
      </x:c>
      <x:c r="E57" s="10" t="str">
        <x:v>线性：100×(1−Q₂/Q₁)/(n₂−n₁)</x:v>
      </x:c>
      <x:c r="F57" s="10" t="str">
        <x:v>%/cycle</x:v>
      </x:c>
      <x:c r="G57" s="10" t="str">
        <x:v>在冻结口径下比较</x:v>
      </x:c>
      <x:c r="H57" s="10" t="str">
        <x:v>由代码计算；两种算法不混用</x:v>
      </x:c>
      <x:c r="I57" s="12" t="str">
        <x:v>待讨论</x:v>
      </x:c>
      <x:c r="J57" s="12" t="str"/>
    </x:row>
    <x:row r="58" ht="48" customHeight="1">
      <x:c r="A58" s="11" t="str">
        <x:v>性能／结果变量</x:v>
      </x:c>
      <x:c r="B58" s="11" t="str">
        <x:v>寿命阈值／失效定义</x:v>
      </x:c>
      <x:c r="C58" s="11" t="str">
        <x:v>P0</x:v>
      </x:c>
      <x:c r="D58" s="11" t="str">
        <x:v>论文如何判断寿命终点</x:v>
      </x:c>
      <x:c r="E58" s="11" t="str">
        <x:v>低于第5圈容量的80%</x:v>
      </x:c>
      <x:c r="F58" s="11" t="str">
        <x:v>文本</x:v>
      </x:c>
      <x:c r="G58" s="11" t="str">
        <x:v>让循环寿命可比较</x:v>
      </x:c>
      <x:c r="H58" s="11" t="str">
        <x:v>保留；没定义就不补</x:v>
      </x:c>
      <x:c r="I58" s="12" t="str">
        <x:v>待讨论</x:v>
      </x:c>
      <x:c r="J58" s="12" t="str"/>
    </x:row>
    <x:row r="59" ht="48" customHeight="1">
      <x:c r="A59" s="10" t="str">
        <x:v>性能／结果变量</x:v>
      </x:c>
      <x:c r="B59" s="10" t="str">
        <x:v>达到终点的圈数</x:v>
      </x:c>
      <x:c r="C59" s="10" t="str">
        <x:v>P0</x:v>
      </x:c>
      <x:c r="D59" s="10" t="str">
        <x:v>明确达到阈值或失效的圈数</x:v>
      </x:c>
      <x:c r="E59" s="10" t="str">
        <x:v>第240圈首次低于阈值</x:v>
      </x:c>
      <x:c r="F59" s="10" t="str">
        <x:v>圈</x:v>
      </x:c>
      <x:c r="G59" s="10" t="str">
        <x:v>记录实际寿命事件</x:v>
      </x:c>
      <x:c r="H59" s="10" t="str">
        <x:v>有事件才填事件圈数</x:v>
      </x:c>
      <x:c r="I59" s="12" t="str">
        <x:v>待讨论</x:v>
      </x:c>
      <x:c r="J59" s="12" t="str"/>
    </x:row>
    <x:row r="60" ht="48" customHeight="1">
      <x:c r="A60" s="11" t="str">
        <x:v>性能／结果变量</x:v>
      </x:c>
      <x:c r="B60" s="11" t="str">
        <x:v>随访截止与删失</x:v>
      </x:c>
      <x:c r="C60" s="11" t="str">
        <x:v>P0</x:v>
      </x:c>
      <x:c r="D60" s="11" t="str">
        <x:v>测试停止时是否观察到目标事件</x:v>
      </x:c>
      <x:c r="E60" s="11" t="str">
        <x:v>测试至300圈仍未到阈值：右删失</x:v>
      </x:c>
      <x:c r="F60" s="11" t="str">
        <x:v>圈＋分类</x:v>
      </x:c>
      <x:c r="G60" s="11" t="str">
        <x:v>避免把测试时长当寿命</x:v>
      </x:c>
      <x:c r="H60" s="11" t="str">
        <x:v>保留</x:v>
      </x:c>
      <x:c r="I60" s="12" t="str">
        <x:v>待讨论</x:v>
      </x:c>
      <x:c r="J60" s="12" t="str"/>
    </x:row>
    <x:row r="61" ht="48" customHeight="1">
      <x:c r="A61" s="10" t="str">
        <x:v>性能／结果变量</x:v>
      </x:c>
      <x:c r="B61" s="10" t="str">
        <x:v>库仑效率CE</x:v>
      </x:c>
      <x:c r="C61" s="10" t="str">
        <x:v>P0</x:v>
      </x:c>
      <x:c r="D61" s="10" t="str">
        <x:v>指定圈/区间的充放电效率及定义</x:v>
      </x:c>
      <x:c r="E61" s="10" t="str">
        <x:v>99.5；按作者定义</x:v>
      </x:c>
      <x:c r="F61" s="10" t="str">
        <x:v>%</x:v>
      </x:c>
      <x:c r="G61" s="10" t="str">
        <x:v>描述电荷效率</x:v>
      </x:c>
      <x:c r="H61" s="10" t="str">
        <x:v>保留圈数、体系和定义</x:v>
      </x:c>
      <x:c r="I61" s="12" t="str">
        <x:v>待讨论</x:v>
      </x:c>
      <x:c r="J61" s="12" t="str"/>
    </x:row>
    <x:row r="62" ht="48" customHeight="1">
      <x:c r="A62" s="11" t="str">
        <x:v>性能／结果变量</x:v>
      </x:c>
      <x:c r="B62" s="11" t="str">
        <x:v>倍率性能</x:v>
      </x:c>
      <x:c r="C62" s="11" t="str">
        <x:v>P0</x:v>
      </x:c>
      <x:c r="D62" s="11" t="str">
        <x:v>多个倍率下的容量；每个点单列</x:v>
      </x:c>
      <x:c r="E62" s="11" t="str">
        <x:v>2 C时容量600</x:v>
      </x:c>
      <x:c r="F62" s="11" t="str">
        <x:v>容量单位＋倍率</x:v>
      </x:c>
      <x:c r="G62" s="11" t="str">
        <x:v>比较高倍率表现</x:v>
      </x:c>
      <x:c r="H62" s="11" t="str">
        <x:v>复用容量观测结构</x:v>
      </x:c>
      <x:c r="I62" s="12" t="str">
        <x:v>待讨论</x:v>
      </x:c>
      <x:c r="J62" s="12" t="str"/>
    </x:row>
    <x:row r="63" ht="48" customHeight="1">
      <x:c r="A63" s="10" t="str">
        <x:v>性能／结果变量</x:v>
      </x:c>
      <x:c r="B63" s="10" t="str">
        <x:v>极化</x:v>
      </x:c>
      <x:c r="C63" s="10" t="str">
        <x:v>P0</x:v>
      </x:c>
      <x:c r="D63" s="10" t="str">
        <x:v>作者定义的电压差或过电位</x:v>
      </x:c>
      <x:c r="E63" s="10" t="str">
        <x:v>0.20；充放电平台电压差</x:v>
      </x:c>
      <x:c r="F63" s="10" t="str">
        <x:v>V／mV</x:v>
      </x:c>
      <x:c r="G63" s="10" t="str">
        <x:v>描述反应/传输负担</x:v>
      </x:c>
      <x:c r="H63" s="10" t="str">
        <x:v>保留定义；不同极化不合并</x:v>
      </x:c>
      <x:c r="I63" s="12" t="str">
        <x:v>待讨论</x:v>
      </x:c>
      <x:c r="J63" s="12" t="str"/>
    </x:row>
    <x:row r="64" ht="48" customHeight="1">
      <x:c r="A64" s="11" t="str">
        <x:v>性能／结果变量</x:v>
      </x:c>
      <x:c r="B64" s="11" t="str">
        <x:v>分段容量</x:v>
      </x:c>
      <x:c r="C64" s="11" t="str">
        <x:v>P0</x:v>
      </x:c>
      <x:c r="D64" s="11" t="str">
        <x:v>高/低平台或特定电位区间容量</x:v>
      </x:c>
      <x:c r="E64" s="11" t="str">
        <x:v>低平台容量650</x:v>
      </x:c>
      <x:c r="F64" s="11" t="str">
        <x:v>mAh/g-S等</x:v>
      </x:c>
      <x:c r="G64" s="11" t="str">
        <x:v>提供转化阶段线索</x:v>
      </x:c>
      <x:c r="H64" s="11" t="str">
        <x:v>已报告性能照存；机制解释后置</x:v>
      </x:c>
      <x:c r="I64" s="12" t="str">
        <x:v>待讨论</x:v>
      </x:c>
      <x:c r="J64" s="12" t="str"/>
    </x:row>
    <x:row r="65" ht="48" customHeight="1">
      <x:c r="A65" s="10" t="str">
        <x:v>同篇比较／分析派生</x:v>
      </x:c>
      <x:c r="B65" s="10" t="str">
        <x:v>A/B对象</x:v>
      </x:c>
      <x:c r="C65" s="10" t="str">
        <x:v>P0</x:v>
      </x:c>
      <x:c r="D65" s="10" t="str">
        <x:v>同篇被比较的两组配方、测试和观测</x:v>
      </x:c>
      <x:c r="E65" s="10" t="str">
        <x:v>A=E-A的T01/O01；B=E-B的T02/O02</x:v>
      </x:c>
      <x:c r="F65" s="10" t="str">
        <x:v>ID引用</x:v>
      </x:c>
      <x:c r="G65" s="10" t="str">
        <x:v>确保比较可追溯</x:v>
      </x:c>
      <x:c r="H65" s="10" t="str">
        <x:v>保留；不自行跨论文配对</x:v>
      </x:c>
      <x:c r="I65" s="12" t="str">
        <x:v>待讨论</x:v>
      </x:c>
      <x:c r="J65" s="12" t="str"/>
    </x:row>
    <x:row r="66" ht="48" customHeight="1">
      <x:c r="A66" s="11" t="str">
        <x:v>同篇比较／分析派生</x:v>
      </x:c>
      <x:c r="B66" s="11" t="str">
        <x:v>B的角色</x:v>
      </x:c>
      <x:c r="C66" s="11" t="str">
        <x:v>P0</x:v>
      </x:c>
      <x:c r="D66" s="11" t="str">
        <x:v>B为何被选作参考</x:v>
      </x:c>
      <x:c r="E66" s="11" t="str">
        <x:v>作者对照／系列参考／直接比较非对照／任意参考</x:v>
      </x:c>
      <x:c r="F66" s="11" t="str">
        <x:v>分类</x:v>
      </x:c>
      <x:c r="G66" s="11" t="str">
        <x:v>解释效应量参照</x:v>
      </x:c>
      <x:c r="H66" s="11" t="str">
        <x:v>保留；沿用已确认A/B规则</x:v>
      </x:c>
      <x:c r="I66" s="12" t="str">
        <x:v>待讨论</x:v>
      </x:c>
      <x:c r="J66" s="12" t="str"/>
    </x:row>
    <x:row r="67" ht="48" customHeight="1">
      <x:c r="A67" s="10" t="str">
        <x:v>同篇比较／分析派生</x:v>
      </x:c>
      <x:c r="B67" s="10" t="str">
        <x:v>改变因素</x:v>
      </x:c>
      <x:c r="C67" s="10" t="str">
        <x:v>P0</x:v>
      </x:c>
      <x:c r="D67" s="10" t="str">
        <x:v>A与B实际改变的变量</x:v>
      </x:c>
      <x:c r="E67" s="10" t="str">
        <x:v>更换共溶剂，同时改变盐浓度</x:v>
      </x:c>
      <x:c r="F67" s="10" t="str">
        <x:v>文本，可多项</x:v>
      </x:c>
      <x:c r="G67" s="10" t="str">
        <x:v>识别单因素与混杂</x:v>
      </x:c>
      <x:c r="H67" s="10" t="str">
        <x:v>保留；不强行写成单因素</x:v>
      </x:c>
      <x:c r="I67" s="12" t="str">
        <x:v>待讨论</x:v>
      </x:c>
      <x:c r="J67" s="12" t="str"/>
    </x:row>
    <x:row r="68" ht="48" customHeight="1">
      <x:c r="A68" s="11" t="str">
        <x:v>同篇比较／分析派生</x:v>
      </x:c>
      <x:c r="B68" s="11" t="str">
        <x:v>条件差异</x:v>
      </x:c>
      <x:c r="C68" s="11" t="str">
        <x:v>P0</x:v>
      </x:c>
      <x:c r="D68" s="11" t="str">
        <x:v>A/B之间非配方条件的差异</x:v>
      </x:c>
      <x:c r="E68" s="11" t="str">
        <x:v>A载量4，B载量2 mg/cm²</x:v>
      </x:c>
      <x:c r="F68" s="11" t="str">
        <x:v>文本</x:v>
      </x:c>
      <x:c r="G68" s="11" t="str">
        <x:v>判断比较是否公平</x:v>
      </x:c>
      <x:c r="H68" s="11" t="str">
        <x:v>保留</x:v>
      </x:c>
      <x:c r="I68" s="12" t="str">
        <x:v>待讨论</x:v>
      </x:c>
      <x:c r="J68" s="12" t="str"/>
    </x:row>
    <x:row r="69" ht="48" customHeight="1">
      <x:c r="A69" s="10" t="str">
        <x:v>同篇比较／分析派生</x:v>
      </x:c>
      <x:c r="B69" s="10" t="str">
        <x:v>可比性</x:v>
      </x:c>
      <x:c r="C69" s="10" t="str">
        <x:v>P0</x:v>
      </x:c>
      <x:c r="D69" s="10" t="str">
        <x:v>协议是否匹配、部分匹配或不明</x:v>
      </x:c>
      <x:c r="E69" s="10" t="str">
        <x:v>部分匹配：取值圈数不同</x:v>
      </x:c>
      <x:c r="F69" s="10" t="str">
        <x:v>分类＋理由</x:v>
      </x:c>
      <x:c r="G69" s="10" t="str">
        <x:v>筛选严格比较子集</x:v>
      </x:c>
      <x:c r="H69" s="10" t="str">
        <x:v>保留</x:v>
      </x:c>
      <x:c r="I69" s="12" t="str">
        <x:v>待讨论</x:v>
      </x:c>
      <x:c r="J69" s="12" t="str"/>
    </x:row>
    <x:row r="70" ht="48" customHeight="1">
      <x:c r="A70" s="11" t="str">
        <x:v>同篇比较／分析派生</x:v>
      </x:c>
      <x:c r="B70" s="11" t="str">
        <x:v>数值方向</x:v>
      </x:c>
      <x:c r="C70" s="11" t="str">
        <x:v>P0</x:v>
      </x:c>
      <x:c r="D70" s="11" t="str">
        <x:v>依据可比数值计算A高/B高等</x:v>
      </x:c>
      <x:c r="E70" s="11" t="str">
        <x:v>A高；或差异小／无法判断</x:v>
      </x:c>
      <x:c r="F70" s="11" t="str">
        <x:v>分类</x:v>
      </x:c>
      <x:c r="G70" s="11" t="str">
        <x:v>汇总同篇比较方向</x:v>
      </x:c>
      <x:c r="H70" s="11" t="str">
        <x:v>代码派生；差异阈值须先冻结</x:v>
      </x:c>
      <x:c r="I70" s="12" t="str">
        <x:v>待讨论</x:v>
      </x:c>
      <x:c r="J70" s="12" t="str"/>
    </x:row>
    <x:row r="71" ht="48" customHeight="1">
      <x:c r="A71" s="10" t="str">
        <x:v>同篇比较／分析派生</x:v>
      </x:c>
      <x:c r="B71" s="10" t="str">
        <x:v>作者定性方向</x:v>
      </x:c>
      <x:c r="C71" s="10" t="str">
        <x:v>P0</x:v>
      </x:c>
      <x:c r="D71" s="10" t="str">
        <x:v>作者文字描述的方向</x:v>
      </x:c>
      <x:c r="E71" s="10" t="str">
        <x:v>作者称A的循环更稳定</x:v>
      </x:c>
      <x:c r="F71" s="10" t="str">
        <x:v>文本</x:v>
      </x:c>
      <x:c r="G71" s="10" t="str">
        <x:v>保留无定量值的描述</x:v>
      </x:c>
      <x:c r="H71" s="10" t="str">
        <x:v>与数值方向分开</x:v>
      </x:c>
      <x:c r="I71" s="12" t="str">
        <x:v>待讨论</x:v>
      </x:c>
      <x:c r="J71" s="12" t="str"/>
    </x:row>
    <x:row r="72" ht="48" customHeight="1">
      <x:c r="A72" s="11" t="str">
        <x:v>同篇比较／分析派生</x:v>
      </x:c>
      <x:c r="B72" s="11" t="str">
        <x:v>效应量</x:v>
      </x:c>
      <x:c r="C72" s="11" t="str">
        <x:v>P0</x:v>
      </x:c>
      <x:c r="D72" s="11" t="str">
        <x:v>同指标同取值点的差异或比值</x:v>
      </x:c>
      <x:c r="E72" s="11" t="str">
        <x:v>ln(A/B)=ln(1000/900)</x:v>
      </x:c>
      <x:c r="F72" s="11" t="str">
        <x:v>依指标</x:v>
      </x:c>
      <x:c r="G72" s="11" t="str">
        <x:v>比较不同论文的内部差异</x:v>
      </x:c>
      <x:c r="H72" s="11" t="str">
        <x:v>代码计算；0/负值等另定口径</x:v>
      </x:c>
      <x:c r="I72" s="12" t="str">
        <x:v>待讨论</x:v>
      </x:c>
      <x:c r="J72" s="12" t="str"/>
    </x:row>
  </x:sheetData>
  <x:dataValidations count="1">
    <x:dataValidation type="list" sqref="I7:I72">
      <x:formula1>"待讨论,保留,简化,后置,删除"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54a41323714bf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.5" hidden="0" customWidth="1"/>
    <x:col min="2" max="2" width="22.5" hidden="0" customWidth="1"/>
    <x:col min="3" max="3" width="13.75" hidden="0" customWidth="1"/>
    <x:col min="4" max="4" width="35" hidden="0" customWidth="1"/>
    <x:col min="5" max="5" width="35.630001068115234" hidden="0" customWidth="1"/>
    <x:col min="6" max="6" width="18.1299991607666" hidden="0" customWidth="1"/>
    <x:col min="7" max="7" width="28.1299991607666" hidden="0" customWidth="1"/>
    <x:col min="8" max="8" width="31.8799991607666" hidden="0" customWidth="1"/>
    <x:col min="9" max="9" width="13.130000114440918" hidden="0" customWidth="1"/>
    <x:col min="10" max="10" width="31.25" hidden="0" customWidth="1"/>
  </x:cols>
  <x:sheetData>
    <x:row r="2">
      <x:c r="A2" s="1" t="str">
        <x:v>P1P2扩展字段</x:v>
      </x:c>
    </x:row>
    <x:row r="3">
      <x:c r="A3" s="2" t="str">
        <x:v>P1：全库查可得性，有则提；P2：机制问题驱动；后置扩展和CEI供讨论决定。</x:v>
      </x:c>
    </x:row>
    <x:row r="4">
      <x:c r="A4" s="2" t="str">
        <x:v>示例均为虚构/格式演示，不进入正式数据库；黄色列供讨论填写。未报告的数值留空，并填写缺失原因。</x:v>
      </x:c>
    </x:row>
    <x:row r="6" ht="32" customHeight="1">
      <x:c r="A6" s="9" t="str">
        <x:v>类别／角色</x:v>
      </x:c>
      <x:c r="B6" s="9" t="str">
        <x:v>拟提字段（中文表头）</x:v>
      </x:c>
      <x:c r="C6" s="9" t="str">
        <x:v>现行优先级</x:v>
      </x:c>
      <x:c r="D6" s="9" t="str">
        <x:v>含义与填写边界</x:v>
      </x:c>
      <x:c r="E6" s="9" t="str">
        <x:v>填写示例（本页均为演示）</x:v>
      </x:c>
      <x:c r="F6" s="9" t="str">
        <x:v>单位／格式</x:v>
      </x:c>
      <x:c r="G6" s="9" t="str">
        <x:v>研究用途</x:v>
      </x:c>
      <x:c r="H6" s="9" t="str">
        <x:v>精简建议（待讨论）</x:v>
      </x:c>
      <x:c r="I6" s="9" t="str">
        <x:v>讨论决定</x:v>
      </x:c>
      <x:c r="J6" s="9" t="str">
        <x:v>师兄／本人意见</x:v>
      </x:c>
    </x:row>
    <x:row r="7" ht="48" customHeight="1">
      <x:c r="A7" s="10" t="str">
        <x:v>Li⁺环境／初始或过程性质</x:v>
      </x:c>
      <x:c r="B7" s="10" t="str">
        <x:v>Li–溶剂配位数</x:v>
      </x:c>
      <x:c r="C7" s="10" t="str">
        <x:v>P1</x:v>
      </x:c>
      <x:c r="D7" s="10" t="str">
        <x:v>Li⁺周围指定溶剂原子/分子的平均数</x:v>
      </x:c>
      <x:c r="E7" s="10" t="str">
        <x:v>Li–O(DME)：3.2</x:v>
      </x:c>
      <x:c r="F7" s="10" t="str">
        <x:v>无量纲</x:v>
      </x:c>
      <x:c r="G7" s="10" t="str">
        <x:v>描述局部配位环境</x:v>
      </x:c>
      <x:c r="H7" s="10" t="str">
        <x:v>有则提；必须给对象和判据</x:v>
      </x:c>
      <x:c r="I7" s="12" t="str">
        <x:v>待讨论</x:v>
      </x:c>
      <x:c r="J7" s="12" t="str"/>
    </x:row>
    <x:row r="8" ht="48" customHeight="1">
      <x:c r="A8" s="11" t="str">
        <x:v>Li⁺环境／初始或过程性质</x:v>
      </x:c>
      <x:c r="B8" s="11" t="str">
        <x:v>Li–阴离子配位数</x:v>
      </x:c>
      <x:c r="C8" s="11" t="str">
        <x:v>P1</x:v>
      </x:c>
      <x:c r="D8" s="11" t="str">
        <x:v>Li⁺周围指定阴离子原子/分子的平均数</x:v>
      </x:c>
      <x:c r="E8" s="11" t="str">
        <x:v>Li–O(TFSI)：1.1</x:v>
      </x:c>
      <x:c r="F8" s="11" t="str">
        <x:v>无量纲</x:v>
      </x:c>
      <x:c r="G8" s="11" t="str">
        <x:v>描述阴离子参与配位</x:v>
      </x:c>
      <x:c r="H8" s="11" t="str">
        <x:v>有则提；原子与分子不混比</x:v>
      </x:c>
      <x:c r="I8" s="12" t="str">
        <x:v>待讨论</x:v>
      </x:c>
      <x:c r="J8" s="12" t="str"/>
    </x:row>
    <x:row r="9" ht="48" customHeight="1">
      <x:c r="A9" s="10" t="str">
        <x:v>Li⁺环境／初始或过程性质</x:v>
      </x:c>
      <x:c r="B9" s="10" t="str">
        <x:v>自由溶剂比例</x:v>
      </x:c>
      <x:c r="C9" s="10" t="str">
        <x:v>P1</x:v>
      </x:c>
      <x:c r="D9" s="10" t="str">
        <x:v>特定方法判为未配位的溶剂份额</x:v>
      </x:c>
      <x:c r="E9" s="10" t="str">
        <x:v>35；Raman分峰面积比例</x:v>
      </x:c>
      <x:c r="F9" s="10" t="str">
        <x:v>%及分母</x:v>
      </x:c>
      <x:c r="G9" s="10" t="str">
        <x:v>连接配位与体相环境</x:v>
      </x:c>
      <x:c r="H9" s="10" t="str">
        <x:v>有则提；谱峰面积不自动等于摩尔分数</x:v>
      </x:c>
      <x:c r="I9" s="12" t="str">
        <x:v>待讨论</x:v>
      </x:c>
      <x:c r="J9" s="12" t="str"/>
    </x:row>
    <x:row r="10" ht="48" customHeight="1">
      <x:c r="A10" s="11" t="str">
        <x:v>Li⁺环境／初始或过程性质</x:v>
      </x:c>
      <x:c r="B10" s="11" t="str">
        <x:v>配位溶剂比例</x:v>
      </x:c>
      <x:c r="C10" s="11" t="str">
        <x:v>P1</x:v>
      </x:c>
      <x:c r="D10" s="11" t="str">
        <x:v>特定方法判为配位的溶剂份额</x:v>
      </x:c>
      <x:c r="E10" s="11" t="str">
        <x:v>65；与自由溶剂同一拟合</x:v>
      </x:c>
      <x:c r="F10" s="11" t="str">
        <x:v>%及分母</x:v>
      </x:c>
      <x:c r="G10" s="11" t="str">
        <x:v>描述配位组分变化</x:v>
      </x:c>
      <x:c r="H10" s="11" t="str">
        <x:v>有则提；不默认与其他报告互补</x:v>
      </x:c>
      <x:c r="I10" s="12" t="str">
        <x:v>待讨论</x:v>
      </x:c>
      <x:c r="J10" s="12" t="str"/>
    </x:row>
    <x:row r="11" ht="48" customHeight="1">
      <x:c r="A11" s="10" t="str">
        <x:v>Li⁺环境／初始或过程性质</x:v>
      </x:c>
      <x:c r="B11" s="10" t="str">
        <x:v>SSIP比例</x:v>
      </x:c>
      <x:c r="C11" s="10" t="str">
        <x:v>P1</x:v>
      </x:c>
      <x:c r="D11" s="10" t="str">
        <x:v>溶剂分隔离子对的份额</x:v>
      </x:c>
      <x:c r="E11" s="10" t="str">
        <x:v>20；按作者团簇定义</x:v>
      </x:c>
      <x:c r="F11" s="10" t="str">
        <x:v>%及分母</x:v>
      </x:c>
      <x:c r="G11" s="10" t="str">
        <x:v>描述离子缔合</x:v>
      </x:c>
      <x:c r="H11" s="10" t="str">
        <x:v>有则提；固定分类判据</x:v>
      </x:c>
      <x:c r="I11" s="12" t="str">
        <x:v>待讨论</x:v>
      </x:c>
      <x:c r="J11" s="12" t="str"/>
    </x:row>
    <x:row r="12" ht="48" customHeight="1">
      <x:c r="A12" s="11" t="str">
        <x:v>Li⁺环境／初始或过程性质</x:v>
      </x:c>
      <x:c r="B12" s="11" t="str">
        <x:v>CIP比例</x:v>
      </x:c>
      <x:c r="C12" s="11" t="str">
        <x:v>P1</x:v>
      </x:c>
      <x:c r="D12" s="11" t="str">
        <x:v>接触离子对的份额</x:v>
      </x:c>
      <x:c r="E12" s="11" t="str">
        <x:v>50；按作者团簇定义</x:v>
      </x:c>
      <x:c r="F12" s="11" t="str">
        <x:v>%及分母</x:v>
      </x:c>
      <x:c r="G12" s="11" t="str">
        <x:v>描述离子缔合</x:v>
      </x:c>
      <x:c r="H12" s="11" t="str">
        <x:v>有则提</x:v>
      </x:c>
      <x:c r="I12" s="12" t="str">
        <x:v>待讨论</x:v>
      </x:c>
      <x:c r="J12" s="12" t="str"/>
    </x:row>
    <x:row r="13" ht="48" customHeight="1">
      <x:c r="A13" s="10" t="str">
        <x:v>Li⁺环境／初始或过程性质</x:v>
      </x:c>
      <x:c r="B13" s="10" t="str">
        <x:v>AGG比例</x:v>
      </x:c>
      <x:c r="C13" s="10" t="str">
        <x:v>P1</x:v>
      </x:c>
      <x:c r="D13" s="10" t="str">
        <x:v>聚集体的份额</x:v>
      </x:c>
      <x:c r="E13" s="10" t="str">
        <x:v>30；按作者团簇定义</x:v>
      </x:c>
      <x:c r="F13" s="10" t="str">
        <x:v>%及分母</x:v>
      </x:c>
      <x:c r="G13" s="10" t="str">
        <x:v>描述离子缔合</x:v>
      </x:c>
      <x:c r="H13" s="10" t="str">
        <x:v>有则提；分类未穷尽不强求总和100</x:v>
      </x:c>
      <x:c r="I13" s="12" t="str">
        <x:v>待讨论</x:v>
      </x:c>
      <x:c r="J13" s="12" t="str"/>
    </x:row>
    <x:row r="14" ht="48" customHeight="1">
      <x:c r="A14" s="11" t="str">
        <x:v>Li⁺环境／初始或过程性质</x:v>
      </x:c>
      <x:c r="B14" s="11" t="str">
        <x:v>谱学信号</x:v>
      </x:c>
      <x:c r="C14" s="11" t="str">
        <x:v>P1</x:v>
      </x:c>
      <x:c r="D14" s="11" t="str">
        <x:v>Raman/NMR等对应对象的峰位</x:v>
      </x:c>
      <x:c r="E14" s="11" t="str">
        <x:v>⁷Li NMR：−0.5 ppm，相对所列参照</x:v>
      </x:c>
      <x:c r="F14" s="11" t="str">
        <x:v>ppm／cm⁻¹等</x:v>
      </x:c>
      <x:c r="G14" s="11" t="str">
        <x:v>保留溶剂化实验依据</x:v>
      </x:c>
      <x:c r="H14" s="11" t="str">
        <x:v>有则提；方法与参照必需</x:v>
      </x:c>
      <x:c r="I14" s="12" t="str">
        <x:v>待讨论</x:v>
      </x:c>
      <x:c r="J14" s="12" t="str"/>
    </x:row>
    <x:row r="15" ht="48" customHeight="1">
      <x:c r="A15" s="10" t="str">
        <x:v>Li⁺环境／初始或过程性质</x:v>
      </x:c>
      <x:c r="B15" s="10" t="str">
        <x:v>谱学变化</x:v>
      </x:c>
      <x:c r="C15" s="10" t="str">
        <x:v>P1</x:v>
      </x:c>
      <x:c r="D15" s="10" t="str">
        <x:v>相对明确参考体系的位移或定性变化</x:v>
      </x:c>
      <x:c r="E15" s="10" t="str">
        <x:v>相对B低频移动5 cm⁻¹</x:v>
      </x:c>
      <x:c r="F15" s="10" t="str">
        <x:v>依方法</x:v>
      </x:c>
      <x:c r="G15" s="10" t="str">
        <x:v>描述同方法内部差异</x:v>
      </x:c>
      <x:c r="H15" s="10" t="str">
        <x:v>有则提；不自动推成“强/弱”</x:v>
      </x:c>
      <x:c r="I15" s="12" t="str">
        <x:v>待讨论</x:v>
      </x:c>
      <x:c r="J15" s="12" t="str"/>
    </x:row>
    <x:row r="16" ht="48" customHeight="1">
      <x:c r="A16" s="11" t="str">
        <x:v>Li⁺环境／初始或过程性质</x:v>
      </x:c>
      <x:c r="B16" s="11" t="str">
        <x:v>配位／缔合判据</x:v>
      </x:c>
      <x:c r="C16" s="11" t="str">
        <x:v>P1</x:v>
      </x:c>
      <x:c r="D16" s="11" t="str">
        <x:v>配位数或团簇分类的定义</x:v>
      </x:c>
      <x:c r="E16" s="11" t="str">
        <x:v>Li–O距离小于第一RDF极小值</x:v>
      </x:c>
      <x:c r="F16" s="11" t="str">
        <x:v>文本＋阈值</x:v>
      </x:c>
      <x:c r="G16" s="11" t="str">
        <x:v>决定描述符是否可比</x:v>
      </x:c>
      <x:c r="H16" s="11" t="str">
        <x:v>与相关描述符一起保留</x:v>
      </x:c>
      <x:c r="I16" s="12" t="str">
        <x:v>待讨论</x:v>
      </x:c>
      <x:c r="J16" s="12" t="str"/>
    </x:row>
    <x:row r="17" ht="48" customHeight="1">
      <x:c r="A17" s="10" t="str">
        <x:v>多硫化物／性质</x:v>
      </x:c>
      <x:c r="B17" s="10" t="str">
        <x:v>指定多硫化物物种</x:v>
      </x:c>
      <x:c r="C17" s="10" t="str">
        <x:v>P1</x:v>
      </x:c>
      <x:c r="D17" s="10" t="str">
        <x:v>被测量或名义加入的具体物种</x:v>
      </x:c>
      <x:c r="E17" s="10" t="str">
        <x:v>名义Li₂S₆</x:v>
      </x:c>
      <x:c r="F17" s="10" t="str">
        <x:v>化学式＋名义/实测</x:v>
      </x:c>
      <x:c r="G17" s="10" t="str">
        <x:v>区分不同链长与对象</x:v>
      </x:c>
      <x:c r="H17" s="10" t="str">
        <x:v>有则提；名义物种不当实测分布</x:v>
      </x:c>
      <x:c r="I17" s="12" t="str">
        <x:v>待讨论</x:v>
      </x:c>
      <x:c r="J17" s="12" t="str"/>
    </x:row>
    <x:row r="18" ht="48" customHeight="1">
      <x:c r="A18" s="11" t="str">
        <x:v>多硫化物／性质</x:v>
      </x:c>
      <x:c r="B18" s="11" t="str">
        <x:v>平衡溶解度</x:v>
      </x:c>
      <x:c r="C18" s="11" t="str">
        <x:v>P1</x:v>
      </x:c>
      <x:c r="D18" s="11" t="str">
        <x:v>特定条件下指定物种的平衡溶解量</x:v>
      </x:c>
      <x:c r="E18" s="11" t="str">
        <x:v>0.20；是否平衡按原文登记</x:v>
      </x:c>
      <x:c r="F18" s="11" t="str">
        <x:v>mol/L等</x:v>
      </x:c>
      <x:c r="G18" s="11" t="str">
        <x:v>描述溶解能力</x:v>
      </x:c>
      <x:c r="H18" s="11" t="str">
        <x:v>有则提；含盐状态与温度必需</x:v>
      </x:c>
      <x:c r="I18" s="12" t="str">
        <x:v>待讨论</x:v>
      </x:c>
      <x:c r="J18" s="12" t="str"/>
    </x:row>
    <x:row r="19" ht="48" customHeight="1">
      <x:c r="A19" s="10" t="str">
        <x:v>多硫化物／性质</x:v>
      </x:c>
      <x:c r="B19" s="10" t="str">
        <x:v>名义投料浓度</x:v>
      </x:c>
      <x:c r="C19" s="10" t="str">
        <x:v>P1</x:v>
      </x:c>
      <x:c r="D19" s="10" t="str">
        <x:v>按配料计算的初始加入浓度</x:v>
      </x:c>
      <x:c r="E19" s="10" t="str">
        <x:v>0.10，按Li₂S₆式量</x:v>
      </x:c>
      <x:c r="F19" s="10" t="str">
        <x:v>mol/L及基准</x:v>
      </x:c>
      <x:c r="G19" s="10" t="str">
        <x:v>还原试验体系</x:v>
      </x:c>
      <x:c r="H19" s="10" t="str">
        <x:v>有则提；不当作实测浓度</x:v>
      </x:c>
      <x:c r="I19" s="12" t="str">
        <x:v>待讨论</x:v>
      </x:c>
      <x:c r="J19" s="12" t="str"/>
    </x:row>
    <x:row r="20" ht="48" customHeight="1">
      <x:c r="A20" s="11" t="str">
        <x:v>多硫化物／性质</x:v>
      </x:c>
      <x:c r="B20" s="11" t="str">
        <x:v>实测物种浓度</x:v>
      </x:c>
      <x:c r="C20" s="11" t="str">
        <x:v>P1</x:v>
      </x:c>
      <x:c r="D20" s="11" t="str">
        <x:v>分析测得的指定物种含量</x:v>
      </x:c>
      <x:c r="E20" s="11" t="str">
        <x:v>0.08，测定方法UV–vis</x:v>
      </x:c>
      <x:c r="F20" s="11" t="str">
        <x:v>mol/L等</x:v>
      </x:c>
      <x:c r="G20" s="11" t="str">
        <x:v>跟踪物种与溶解变化</x:v>
      </x:c>
      <x:c r="H20" s="11" t="str">
        <x:v>有则提；保留校准/基准信息</x:v>
      </x:c>
      <x:c r="I20" s="12" t="str">
        <x:v>待讨论</x:v>
      </x:c>
      <x:c r="J20" s="12" t="str"/>
    </x:row>
    <x:row r="21" ht="48" customHeight="1">
      <x:c r="A21" s="10" t="str">
        <x:v>多硫化物／性质</x:v>
      </x:c>
      <x:c r="B21" s="10" t="str">
        <x:v>浓度计量基准</x:v>
      </x:c>
      <x:c r="C21" s="10" t="str">
        <x:v>P1</x:v>
      </x:c>
      <x:c r="D21" s="10" t="str">
        <x:v>按Li₂Sₓ分子、硫原子或其他对象计量</x:v>
      </x:c>
      <x:c r="E21" s="10" t="str">
        <x:v>按硫原子；不是Li₂S₆式量</x:v>
      </x:c>
      <x:c r="F21" s="10" t="str">
        <x:v>文本</x:v>
      </x:c>
      <x:c r="G21" s="10" t="str">
        <x:v>避免6倍等系统换算错误</x:v>
      </x:c>
      <x:c r="H21" s="10" t="str">
        <x:v>与浓度一起保留</x:v>
      </x:c>
      <x:c r="I21" s="12" t="str">
        <x:v>待讨论</x:v>
      </x:c>
      <x:c r="J21" s="12" t="str"/>
    </x:row>
    <x:row r="22" ht="48" customHeight="1">
      <x:c r="A22" s="11" t="str">
        <x:v>体相传输／性质</x:v>
      </x:c>
      <x:c r="B22" s="11" t="str">
        <x:v>密度</x:v>
      </x:c>
      <x:c r="C22" s="11" t="str">
        <x:v>P1</x:v>
      </x:c>
      <x:c r="D22" s="11" t="str">
        <x:v>明确组成和温度下的体系密度</x:v>
      </x:c>
      <x:c r="E22" s="11" t="str">
        <x:v>1.20，25 °C</x:v>
      </x:c>
      <x:c r="F22" s="11" t="str">
        <x:v>g/mL</x:v>
      </x:c>
      <x:c r="G22" s="11" t="str">
        <x:v>支持体积/质量换算</x:v>
      </x:c>
      <x:c r="H22" s="11" t="str">
        <x:v>有则提；不套用纯溶剂值</x:v>
      </x:c>
      <x:c r="I22" s="12" t="str">
        <x:v>待讨论</x:v>
      </x:c>
      <x:c r="J22" s="12" t="str"/>
    </x:row>
    <x:row r="23" ht="48" customHeight="1">
      <x:c r="A23" s="10" t="str">
        <x:v>体相传输／性质</x:v>
      </x:c>
      <x:c r="B23" s="10" t="str">
        <x:v>黏度</x:v>
      </x:c>
      <x:c r="C23" s="10" t="str">
        <x:v>P1</x:v>
      </x:c>
      <x:c r="D23" s="10" t="str">
        <x:v>明确测法的动力或运动黏度</x:v>
      </x:c>
      <x:c r="E23" s="10" t="str">
        <x:v>动力黏度：3.5，25 °C</x:v>
      </x:c>
      <x:c r="F23" s="10" t="str">
        <x:v>mPa·s；运动黏度另记</x:v>
      </x:c>
      <x:c r="G23" s="10" t="str">
        <x:v>连接传输与贫液表现</x:v>
      </x:c>
      <x:c r="H23" s="10" t="str">
        <x:v>有则提；两种黏度不混用</x:v>
      </x:c>
      <x:c r="I23" s="12" t="str">
        <x:v>待讨论</x:v>
      </x:c>
      <x:c r="J23" s="12" t="str"/>
    </x:row>
    <x:row r="24" ht="48" customHeight="1">
      <x:c r="A24" s="11" t="str">
        <x:v>体相传输／性质</x:v>
      </x:c>
      <x:c r="B24" s="11" t="str">
        <x:v>离子电导率</x:v>
      </x:c>
      <x:c r="C24" s="11" t="str">
        <x:v>P1</x:v>
      </x:c>
      <x:c r="D24" s="11" t="str">
        <x:v>电解液整体导电能力</x:v>
      </x:c>
      <x:c r="E24" s="11" t="str">
        <x:v>5.2，25 °C</x:v>
      </x:c>
      <x:c r="F24" s="11" t="str">
        <x:v>mS/cm</x:v>
      </x:c>
      <x:c r="G24" s="11" t="str">
        <x:v>描述传输能力</x:v>
      </x:c>
      <x:c r="H24" s="11" t="str">
        <x:v>有则提；实测和近似计算分开</x:v>
      </x:c>
      <x:c r="I24" s="12" t="str">
        <x:v>待讨论</x:v>
      </x:c>
      <x:c r="J24" s="12" t="str"/>
    </x:row>
    <x:row r="25" ht="48" customHeight="1">
      <x:c r="A25" s="10" t="str">
        <x:v>体相传输／性质</x:v>
      </x:c>
      <x:c r="B25" s="10" t="str">
        <x:v>自扩散系数</x:v>
      </x:c>
      <x:c r="C25" s="10" t="str">
        <x:v>P1</x:v>
      </x:c>
      <x:c r="D25" s="10" t="str">
        <x:v>指定物种的自扩散系数</x:v>
      </x:c>
      <x:c r="E25" s="10" t="str">
        <x:v>Li⁺：1.0×10⁻¹⁰</x:v>
      </x:c>
      <x:c r="F25" s="10" t="str">
        <x:v>m²/s</x:v>
      </x:c>
      <x:c r="G25" s="10" t="str">
        <x:v>描述物种迁移</x:v>
      </x:c>
      <x:c r="H25" s="10" t="str">
        <x:v>有则提；与化学扩散分开</x:v>
      </x:c>
      <x:c r="I25" s="12" t="str">
        <x:v>待讨论</x:v>
      </x:c>
      <x:c r="J25" s="12" t="str"/>
    </x:row>
    <x:row r="26" ht="48" customHeight="1">
      <x:c r="A26" s="11" t="str">
        <x:v>体相传输／性质</x:v>
      </x:c>
      <x:c r="B26" s="11" t="str">
        <x:v>Li⁺迁移数</x:v>
      </x:c>
      <x:c r="C26" s="11" t="str">
        <x:v>P1</x:v>
      </x:c>
      <x:c r="D26" s="11" t="str">
        <x:v>指定方法/参照系下的迁移数</x:v>
      </x:c>
      <x:c r="E26" s="11" t="str">
        <x:v>0.35；附测法与参照系</x:v>
      </x:c>
      <x:c r="F26" s="11" t="str">
        <x:v>无量纲</x:v>
      </x:c>
      <x:c r="G26" s="11" t="str">
        <x:v>描述Li⁺输运份额</x:v>
      </x:c>
      <x:c r="H26" s="11" t="str">
        <x:v>有则提；不默认由扩散比代替</x:v>
      </x:c>
      <x:c r="I26" s="12" t="str">
        <x:v>待讨论</x:v>
      </x:c>
      <x:c r="J26" s="12" t="str"/>
    </x:row>
    <x:row r="27" ht="48" customHeight="1">
      <x:c r="A27" s="10" t="str">
        <x:v>体相传输／性质</x:v>
      </x:c>
      <x:c r="B27" s="10" t="str">
        <x:v>迁移数测法／参照系</x:v>
      </x:c>
      <x:c r="C27" s="10" t="str">
        <x:v>P1</x:v>
      </x:c>
      <x:c r="D27" s="10" t="str">
        <x:v>迁移数对应的实验协议和定义</x:v>
      </x:c>
      <x:c r="E27" s="10" t="str">
        <x:v>Bruce–Vincent法；按作者定义</x:v>
      </x:c>
      <x:c r="F27" s="10" t="str">
        <x:v>文本</x:v>
      </x:c>
      <x:c r="G27" s="10" t="str">
        <x:v>控制方法依赖性</x:v>
      </x:c>
      <x:c r="H27" s="10" t="str">
        <x:v>与迁移数一起保留</x:v>
      </x:c>
      <x:c r="I27" s="12" t="str">
        <x:v>待讨论</x:v>
      </x:c>
      <x:c r="J27" s="12" t="str"/>
    </x:row>
    <x:row r="28" ht="48" customHeight="1">
      <x:c r="A28" s="11" t="str">
        <x:v>结构／外部代理</x:v>
      </x:c>
      <x:c r="B28" s="11" t="str">
        <x:v>分子结构</x:v>
      </x:c>
      <x:c r="C28" s="11" t="str">
        <x:v>后置扩展</x:v>
      </x:c>
      <x:c r="D28" s="11" t="str">
        <x:v>经核实的单组分结构与来源</x:v>
      </x:c>
      <x:c r="E28" s="11" t="str">
        <x:v>DME的SMILES：COCCOC（演示）</x:v>
      </x:c>
      <x:c r="F28" s="11" t="str">
        <x:v>结构字符串</x:v>
      </x:c>
      <x:c r="G28" s="11" t="str">
        <x:v>支持组分描述符计算</x:v>
      </x:c>
      <x:c r="H28" s="11" t="str">
        <x:v>后置；先确认需要什么关联分析</x:v>
      </x:c>
      <x:c r="I28" s="12" t="str">
        <x:v>待讨论</x:v>
      </x:c>
      <x:c r="J28" s="12" t="str"/>
    </x:row>
    <x:row r="29" ht="48" customHeight="1">
      <x:c r="A29" s="10" t="str">
        <x:v>结构／外部代理</x:v>
      </x:c>
      <x:c r="B29" s="10" t="str">
        <x:v>供电子位点</x:v>
      </x:c>
      <x:c r="C29" s="10" t="str">
        <x:v>后置扩展</x:v>
      </x:c>
      <x:c r="D29" s="10" t="str">
        <x:v>分子中指定供电子原子的类型和数量</x:v>
      </x:c>
      <x:c r="E29" s="10" t="str">
        <x:v>DME：2个醚氧位点（演示）</x:v>
      </x:c>
      <x:c r="F29" s="10" t="str">
        <x:v>文本／个</x:v>
      </x:c>
      <x:c r="G29" s="10" t="str">
        <x:v>描述组分结构</x:v>
      </x:c>
      <x:c r="H29" s="10" t="str">
        <x:v>后置；不当作完整电解液溶剂化强度</x:v>
      </x:c>
      <x:c r="I29" s="12" t="str">
        <x:v>待讨论</x:v>
      </x:c>
      <x:c r="J29" s="12" t="str"/>
    </x:row>
    <x:row r="30" ht="48" customHeight="1">
      <x:c r="A30" s="11" t="str">
        <x:v>结构／外部代理</x:v>
      </x:c>
      <x:c r="B30" s="11" t="str">
        <x:v>分子量</x:v>
      </x:c>
      <x:c r="C30" s="11" t="str">
        <x:v>后置扩展</x:v>
      </x:c>
      <x:c r="D30" s="11" t="str">
        <x:v>单组分相对分子质量对应摩尔质量</x:v>
      </x:c>
      <x:c r="E30" s="11" t="str">
        <x:v>DME：90.12（演示）</x:v>
      </x:c>
      <x:c r="F30" s="11" t="str">
        <x:v>g/mol</x:v>
      </x:c>
      <x:c r="G30" s="11" t="str">
        <x:v>浓度换算或结构描述</x:v>
      </x:c>
      <x:c r="H30" s="11" t="str">
        <x:v>需要时查/算；注明来源</x:v>
      </x:c>
      <x:c r="I30" s="12" t="str">
        <x:v>待讨论</x:v>
      </x:c>
      <x:c r="J30" s="12" t="str"/>
    </x:row>
    <x:row r="31" ht="48" customHeight="1">
      <x:c r="A31" s="10" t="str">
        <x:v>结构／外部代理</x:v>
      </x:c>
      <x:c r="B31" s="10" t="str">
        <x:v>O/C比</x:v>
      </x:c>
      <x:c r="C31" s="10" t="str">
        <x:v>后置扩展</x:v>
      </x:c>
      <x:c r="D31" s="10" t="str">
        <x:v>指定分子的氧原子数/碳原子数</x:v>
      </x:c>
      <x:c r="E31" s="10" t="str">
        <x:v>DME：2/4=0.50（演示）</x:v>
      </x:c>
      <x:c r="F31" s="10" t="str">
        <x:v>无量纲</x:v>
      </x:c>
      <x:c r="G31" s="10" t="str">
        <x:v>候选结构特征</x:v>
      </x:c>
      <x:c r="H31" s="10" t="str">
        <x:v>后置；不是独立必提实验量</x:v>
      </x:c>
      <x:c r="I31" s="12" t="str">
        <x:v>待讨论</x:v>
      </x:c>
      <x:c r="J31" s="12" t="str"/>
    </x:row>
    <x:row r="32" ht="48" customHeight="1">
      <x:c r="A32" s="11" t="str">
        <x:v>结构／外部代理</x:v>
      </x:c>
      <x:c r="B32" s="11" t="str">
        <x:v>F/C比</x:v>
      </x:c>
      <x:c r="C32" s="11" t="str">
        <x:v>后置扩展</x:v>
      </x:c>
      <x:c r="D32" s="11" t="str">
        <x:v>指定分子的氟原子数/碳原子数</x:v>
      </x:c>
      <x:c r="E32" s="11" t="str">
        <x:v>DME：0/4=0（演示）</x:v>
      </x:c>
      <x:c r="F32" s="11" t="str">
        <x:v>无量纲</x:v>
      </x:c>
      <x:c r="G32" s="11" t="str">
        <x:v>候选含氟特征</x:v>
      </x:c>
      <x:c r="H32" s="11" t="str">
        <x:v>后置；分母为0时不定义</x:v>
      </x:c>
      <x:c r="I32" s="12" t="str">
        <x:v>待讨论</x:v>
      </x:c>
      <x:c r="J32" s="12" t="str"/>
    </x:row>
    <x:row r="33" ht="48" customHeight="1">
      <x:c r="A33" s="10" t="str">
        <x:v>结构／外部代理</x:v>
      </x:c>
      <x:c r="B33" s="10" t="str">
        <x:v>供体数DN</x:v>
      </x:c>
      <x:c r="C33" s="10" t="str">
        <x:v>后置扩展</x:v>
      </x:c>
      <x:c r="D33" s="10" t="str">
        <x:v>特定组分按所述参考定义的DN</x:v>
      </x:c>
      <x:c r="E33" s="10" t="str">
        <x:v>保留缺失；待核实外部来源</x:v>
      </x:c>
      <x:c r="F33" s="10" t="str">
        <x:v>按来源</x:v>
      </x:c>
      <x:c r="G33" s="10" t="str">
        <x:v>候选组分代理变量</x:v>
      </x:c>
      <x:c r="H33" s="10" t="str">
        <x:v>后置；不按体积分数直接平均成混合液DN</x:v>
      </x:c>
      <x:c r="I33" s="12" t="str">
        <x:v>待讨论</x:v>
      </x:c>
      <x:c r="J33" s="12" t="str"/>
    </x:row>
    <x:row r="34" ht="48" customHeight="1">
      <x:c r="A34" s="11" t="str">
        <x:v>结构／外部代理</x:v>
      </x:c>
      <x:c r="B34" s="11" t="str">
        <x:v>受体数AN</x:v>
      </x:c>
      <x:c r="C34" s="11" t="str">
        <x:v>后置扩展</x:v>
      </x:c>
      <x:c r="D34" s="11" t="str">
        <x:v>特定组分按所述参考定义的AN</x:v>
      </x:c>
      <x:c r="E34" s="11" t="str">
        <x:v>保留缺失；待核实外部来源</x:v>
      </x:c>
      <x:c r="F34" s="11" t="str">
        <x:v>按来源</x:v>
      </x:c>
      <x:c r="G34" s="11" t="str">
        <x:v>候选组分代理变量</x:v>
      </x:c>
      <x:c r="H34" s="11" t="str">
        <x:v>后置；与DN分开</x:v>
      </x:c>
      <x:c r="I34" s="12" t="str">
        <x:v>待讨论</x:v>
      </x:c>
      <x:c r="J34" s="12" t="str"/>
    </x:row>
    <x:row r="35" ht="48" customHeight="1">
      <x:c r="A35" s="10" t="str">
        <x:v>结构／外部代理</x:v>
      </x:c>
      <x:c r="B35" s="10" t="str">
        <x:v>介电常数</x:v>
      </x:c>
      <x:c r="C35" s="10" t="str">
        <x:v>后置扩展</x:v>
      </x:c>
      <x:c r="D35" s="10" t="str">
        <x:v>指定对象与条件下的相对介电常数</x:v>
      </x:c>
      <x:c r="E35" s="10" t="str">
        <x:v>纯溶剂：7.0，25 °C（虚构）</x:v>
      </x:c>
      <x:c r="F35" s="10" t="str">
        <x:v>无量纲</x:v>
      </x:c>
      <x:c r="G35" s="10" t="str">
        <x:v>候选介电环境代理</x:v>
      </x:c>
      <x:c r="H35" s="10" t="str">
        <x:v>后置；纯溶剂不替代含盐混合液</x:v>
      </x:c>
      <x:c r="I35" s="12" t="str">
        <x:v>待讨论</x:v>
      </x:c>
      <x:c r="J35" s="12" t="str"/>
    </x:row>
    <x:row r="36" ht="48" customHeight="1">
      <x:c r="A36" s="11" t="str">
        <x:v>计算描述符／可选性质</x:v>
      </x:c>
      <x:c r="B36" s="11" t="str">
        <x:v>配位驻留时间</x:v>
      </x:c>
      <x:c r="C36" s="11" t="str">
        <x:v>P2／有则收入</x:v>
      </x:c>
      <x:c r="D36" s="11" t="str">
        <x:v>指定配体在配位壳层停留时间</x:v>
      </x:c>
      <x:c r="E36" s="11" t="str">
        <x:v>DME在Li⁺壳层：100 ps</x:v>
      </x:c>
      <x:c r="F36" s="11" t="str">
        <x:v>ps／ns</x:v>
      </x:c>
      <x:c r="G36" s="11" t="str">
        <x:v>连接动态配位</x:v>
      </x:c>
      <x:c r="H36" s="11" t="str">
        <x:v>后置；必须固定统计判据</x:v>
      </x:c>
      <x:c r="I36" s="12" t="str">
        <x:v>待讨论</x:v>
      </x:c>
      <x:c r="J36" s="12" t="str"/>
    </x:row>
    <x:row r="37" ht="48" customHeight="1">
      <x:c r="A37" s="10" t="str">
        <x:v>计算描述符／可选性质</x:v>
      </x:c>
      <x:c r="B37" s="10" t="str">
        <x:v>结合能</x:v>
      </x:c>
      <x:c r="C37" s="10" t="str">
        <x:v>P2／有则收入</x:v>
      </x:c>
      <x:c r="D37" s="10" t="str">
        <x:v>指定物种与构型之间的结合能</x:v>
      </x:c>
      <x:c r="E37" s="10" t="str">
        <x:v>Li⁺–溶剂簇：−1.2 eV</x:v>
      </x:c>
      <x:c r="F37" s="10" t="str">
        <x:v>eV／kJ/mol</x:v>
      </x:c>
      <x:c r="G37" s="10" t="str">
        <x:v>支持局部相互作用分析</x:v>
      </x:c>
      <x:c r="H37" s="10" t="str">
        <x:v>有则存；不能改名为溶剂化自由能</x:v>
      </x:c>
      <x:c r="I37" s="12" t="str">
        <x:v>待讨论</x:v>
      </x:c>
      <x:c r="J37" s="12" t="str"/>
    </x:row>
    <x:row r="38" ht="48" customHeight="1">
      <x:c r="A38" s="11" t="str">
        <x:v>计算描述符／可选性质</x:v>
      </x:c>
      <x:c r="B38" s="11" t="str">
        <x:v>溶剂化自由能</x:v>
      </x:c>
      <x:c r="C38" s="11" t="str">
        <x:v>P2／有则收入</x:v>
      </x:c>
      <x:c r="D38" s="11" t="str">
        <x:v>明确参照态与物种的自由能变化</x:v>
      </x:c>
      <x:c r="E38" s="11" t="str">
        <x:v>−300；参照态见计算协议（虚构）</x:v>
      </x:c>
      <x:c r="F38" s="11" t="str">
        <x:v>kJ/mol</x:v>
      </x:c>
      <x:c r="G38" s="11" t="str">
        <x:v>支持特定热力学解释</x:v>
      </x:c>
      <x:c r="H38" s="11" t="str">
        <x:v>后置；需要标准态与方法</x:v>
      </x:c>
      <x:c r="I38" s="12" t="str">
        <x:v>待讨论</x:v>
      </x:c>
      <x:c r="J38" s="12" t="str"/>
    </x:row>
    <x:row r="39" ht="48" customHeight="1">
      <x:c r="A39" s="10" t="str">
        <x:v>计算描述符／可选性质</x:v>
      </x:c>
      <x:c r="B39" s="10" t="str">
        <x:v>配对／脱溶剂化能垒</x:v>
      </x:c>
      <x:c r="C39" s="10" t="str">
        <x:v>P2／有则收入</x:v>
      </x:c>
      <x:c r="D39" s="10" t="str">
        <x:v>明确初末态与反应路径的自由能/能量势垒</x:v>
      </x:c>
      <x:c r="E39" s="10" t="str">
        <x:v>脱溶剂化：0.40 eV（虚构）</x:v>
      </x:c>
      <x:c r="F39" s="10" t="str">
        <x:v>eV／kJ/mol</x:v>
      </x:c>
      <x:c r="G39" s="10" t="str">
        <x:v>支持局部动力学解释</x:v>
      </x:c>
      <x:c r="H39" s="10" t="str">
        <x:v>后置；注明是能量还是自由能</x:v>
      </x:c>
      <x:c r="I39" s="12" t="str">
        <x:v>待讨论</x:v>
      </x:c>
      <x:c r="J39" s="12" t="str"/>
    </x:row>
    <x:row r="40" ht="48" customHeight="1">
      <x:c r="A40" s="11" t="str">
        <x:v>机制／过程诊断</x:v>
      </x:c>
      <x:c r="B40" s="11" t="str">
        <x:v>多硫化物物种分布</x:v>
      </x:c>
      <x:c r="C40" s="11" t="str">
        <x:v>P2</x:v>
      </x:c>
      <x:c r="D40" s="11" t="str">
        <x:v>同一节点不同链长/物种份额</x:v>
      </x:c>
      <x:c r="E40" s="11" t="str">
        <x:v>短链30%，长链70%（虚构分类）</x:v>
      </x:c>
      <x:c r="F40" s="11" t="str">
        <x:v>%及分母</x:v>
      </x:c>
      <x:c r="G40" s="11" t="str">
        <x:v>判断反应物种演化</x:v>
      </x:c>
      <x:c r="H40" s="11" t="str">
        <x:v>关键论文深入；保留检测和分类方法</x:v>
      </x:c>
      <x:c r="I40" s="12" t="str">
        <x:v>待讨论</x:v>
      </x:c>
      <x:c r="J40" s="12" t="str"/>
    </x:row>
    <x:row r="41" ht="48" customHeight="1">
      <x:c r="A41" s="10" t="str">
        <x:v>机制／过程诊断</x:v>
      </x:c>
      <x:c r="B41" s="10" t="str">
        <x:v>多硫化物团簇／配位</x:v>
      </x:c>
      <x:c r="C41" s="10" t="str">
        <x:v>P2</x:v>
      </x:c>
      <x:c r="D41" s="10" t="str">
        <x:v>LiPS的团簇大小或局部配位</x:v>
      </x:c>
      <x:c r="E41" s="10" t="str">
        <x:v>平均团簇含3个名义单元（虚构）</x:v>
      </x:c>
      <x:c r="F41" s="10" t="str">
        <x:v>依定义</x:v>
      </x:c>
      <x:c r="G41" s="10" t="str">
        <x:v>支持传输和反应机制</x:v>
      </x:c>
      <x:c r="H41" s="10" t="str">
        <x:v>关键论文深入；不要与Li⁺轴合并</x:v>
      </x:c>
      <x:c r="I41" s="12" t="str">
        <x:v>待讨论</x:v>
      </x:c>
      <x:c r="J41" s="12" t="str"/>
    </x:row>
    <x:row r="42" ht="48" customHeight="1">
      <x:c r="A42" s="11" t="str">
        <x:v>机制／过程诊断</x:v>
      </x:c>
      <x:c r="B42" s="11" t="str">
        <x:v>Li₂S沉积量／容量</x:v>
      </x:c>
      <x:c r="C42" s="11" t="str">
        <x:v>P2</x:v>
      </x:c>
      <x:c r="D42" s="11" t="str">
        <x:v>沉积试验的量或积分容量</x:v>
      </x:c>
      <x:c r="E42" s="11" t="str">
        <x:v>120；按作者质量基准</x:v>
      </x:c>
      <x:c r="F42" s="11" t="str">
        <x:v>mAh/g等</x:v>
      </x:c>
      <x:c r="G42" s="11" t="str">
        <x:v>比较液固转化</x:v>
      </x:c>
      <x:c r="H42" s="11" t="str">
        <x:v>关键论文深入；电位及协议必需</x:v>
      </x:c>
      <x:c r="I42" s="12" t="str">
        <x:v>待讨论</x:v>
      </x:c>
      <x:c r="J42" s="12" t="str"/>
    </x:row>
    <x:row r="43" ht="48" customHeight="1">
      <x:c r="A43" s="10" t="str">
        <x:v>机制／过程诊断</x:v>
      </x:c>
      <x:c r="B43" s="10" t="str">
        <x:v>Li₂S溶解量／容量</x:v>
      </x:c>
      <x:c r="C43" s="10" t="str">
        <x:v>P2</x:v>
      </x:c>
      <x:c r="D43" s="10" t="str">
        <x:v>溶解试验的量或积分容量</x:v>
      </x:c>
      <x:c r="E43" s="10" t="str">
        <x:v>100；按作者质量基准</x:v>
      </x:c>
      <x:c r="F43" s="10" t="str">
        <x:v>mAh/g等</x:v>
      </x:c>
      <x:c r="G43" s="10" t="str">
        <x:v>比较固液转化</x:v>
      </x:c>
      <x:c r="H43" s="10" t="str">
        <x:v>关键论文深入</x:v>
      </x:c>
      <x:c r="I43" s="12" t="str">
        <x:v>待讨论</x:v>
      </x:c>
      <x:c r="J43" s="12" t="str"/>
    </x:row>
    <x:row r="44" ht="48" customHeight="1">
      <x:c r="A44" s="11" t="str">
        <x:v>机制／过程诊断</x:v>
      </x:c>
      <x:c r="B44" s="11" t="str">
        <x:v>EIS分量</x:v>
      </x:c>
      <x:c r="C44" s="11" t="str">
        <x:v>P2</x:v>
      </x:c>
      <x:c r="D44" s="11" t="str">
        <x:v>拟合电路中明确命名的阻抗分量</x:v>
      </x:c>
      <x:c r="E44" s="11" t="str">
        <x:v>Rct=30 Ω；附等效电路</x:v>
      </x:c>
      <x:c r="F44" s="11" t="str">
        <x:v>Ω／Ω·cm²</x:v>
      </x:c>
      <x:c r="G44" s="11" t="str">
        <x:v>提供界面/反应线索</x:v>
      </x:c>
      <x:c r="H44" s="11" t="str">
        <x:v>关键论文深入；不直接等同失效机制</x:v>
      </x:c>
      <x:c r="I44" s="12" t="str">
        <x:v>待讨论</x:v>
      </x:c>
      <x:c r="J44" s="12" t="str"/>
    </x:row>
    <x:row r="45" ht="48" customHeight="1">
      <x:c r="A45" s="10" t="str">
        <x:v>机制／过程诊断</x:v>
      </x:c>
      <x:c r="B45" s="10" t="str">
        <x:v>Li‖Cu效率</x:v>
      </x:c>
      <x:c r="C45" s="10" t="str">
        <x:v>P2</x:v>
      </x:c>
      <x:c r="D45" s="10" t="str">
        <x:v>特定沉积/剥离协议下效率</x:v>
      </x:c>
      <x:c r="E45" s="10" t="str">
        <x:v>99.0；1 mA/cm²、1 mAh/cm²</x:v>
      </x:c>
      <x:c r="F45" s="10" t="str">
        <x:v>%</x:v>
      </x:c>
      <x:c r="G45" s="10" t="str">
        <x:v>提供锂沉积/剥离线索</x:v>
      </x:c>
      <x:c r="H45" s="10" t="str">
        <x:v>关键论文深入；不直接代替Li–S损耗</x:v>
      </x:c>
      <x:c r="I45" s="12" t="str">
        <x:v>待讨论</x:v>
      </x:c>
      <x:c r="J45" s="12" t="str"/>
    </x:row>
    <x:row r="46" ht="48" customHeight="1">
      <x:c r="A46" s="11" t="str">
        <x:v>机制／过程诊断</x:v>
      </x:c>
      <x:c r="B46" s="11" t="str">
        <x:v>SEI组成</x:v>
      </x:c>
      <x:c r="C46" s="11" t="str">
        <x:v>P2</x:v>
      </x:c>
      <x:c r="D46" s="11" t="str">
        <x:v>指定节点与方法下的界面组分</x:v>
      </x:c>
      <x:c r="E46" s="11" t="str">
        <x:v>XPS检测到LiF；定量未报告</x:v>
      </x:c>
      <x:c r="F46" s="11" t="str">
        <x:v>文本／按方法的比例</x:v>
      </x:c>
      <x:c r="G46" s="11" t="str">
        <x:v>支持界面解释</x:v>
      </x:c>
      <x:c r="H46" s="11" t="str">
        <x:v>关键论文深入；避免定性写成含量</x:v>
      </x:c>
      <x:c r="I46" s="12" t="str">
        <x:v>待讨论</x:v>
      </x:c>
      <x:c r="J46" s="12" t="str"/>
    </x:row>
    <x:row r="47" ht="48" customHeight="1">
      <x:c r="A47" s="10" t="str">
        <x:v>机制／过程诊断</x:v>
      </x:c>
      <x:c r="B47" s="10" t="str">
        <x:v>CEI组成</x:v>
      </x:c>
      <x:c r="C47" s="10" t="str">
        <x:v>P2</x:v>
      </x:c>
      <x:c r="D47" s="10" t="str">
        <x:v>正极界面组分及检测依据</x:v>
      </x:c>
      <x:c r="E47" s="10" t="str">
        <x:v>未提取；是否纳入待讨论</x:v>
      </x:c>
      <x:c r="F47" s="10" t="str">
        <x:v>依方法</x:v>
      </x:c>
      <x:c r="G47" s="10" t="str">
        <x:v>可能提供正极界面证据</x:v>
      </x:c>
      <x:c r="H47" s="10" t="str">
        <x:v>明确待定；现行方案尚未决定</x:v>
      </x:c>
      <x:c r="I47" s="12" t="str">
        <x:v>待讨论</x:v>
      </x:c>
      <x:c r="J47" s="12" t="str"/>
    </x:row>
    <x:row r="48" ht="48" customHeight="1">
      <x:c r="A48" s="11" t="str">
        <x:v>机制／过程诊断</x:v>
      </x:c>
      <x:c r="B48" s="11" t="str">
        <x:v>剩余金属Li⁰</x:v>
      </x:c>
      <x:c r="C48" s="11" t="str">
        <x:v>P2</x:v>
      </x:c>
      <x:c r="D48" s="11" t="str">
        <x:v>如TGC测得的金属锂残余</x:v>
      </x:c>
      <x:c r="E48" s="11" t="str">
        <x:v>0.30，100圈后</x:v>
      </x:c>
      <x:c r="F48" s="11" t="str">
        <x:v>mg／µmol等</x:v>
      </x:c>
      <x:c r="G48" s="11" t="str">
        <x:v>区分金属锂库存变化</x:v>
      </x:c>
      <x:c r="H48" s="11" t="str">
        <x:v>关键论文深入；不等于电化学可用锂</x:v>
      </x:c>
      <x:c r="I48" s="12" t="str">
        <x:v>待讨论</x:v>
      </x:c>
      <x:c r="J48" s="12" t="str"/>
    </x:row>
    <x:row r="49" ht="48" customHeight="1">
      <x:c r="A49" s="10" t="str">
        <x:v>机制／过程诊断</x:v>
      </x:c>
      <x:c r="B49" s="10" t="str">
        <x:v>电化学可用锂</x:v>
      </x:c>
      <x:c r="C49" s="10" t="str">
        <x:v>P2</x:v>
      </x:c>
      <x:c r="D49" s="10" t="str">
        <x:v>独立方法评估的可利用锂量</x:v>
      </x:c>
      <x:c r="E49" s="10" t="str">
        <x:v>剩余可用容量0.8 mAh（虚构）</x:v>
      </x:c>
      <x:c r="F49" s="10" t="str">
        <x:v>mAh／mol等</x:v>
      </x:c>
      <x:c r="G49" s="10" t="str">
        <x:v>辨别负极库存限制</x:v>
      </x:c>
      <x:c r="H49" s="10" t="str">
        <x:v>关键论文深入；必须说明测法</x:v>
      </x:c>
      <x:c r="I49" s="12" t="str">
        <x:v>待讨论</x:v>
      </x:c>
      <x:c r="J49" s="12" t="str"/>
    </x:row>
    <x:row r="50" ht="48" customHeight="1">
      <x:c r="A50" s="11" t="str">
        <x:v>机制／过程诊断</x:v>
      </x:c>
      <x:c r="B50" s="11" t="str">
        <x:v>硫库存</x:v>
      </x:c>
      <x:c r="C50" s="11" t="str">
        <x:v>P2</x:v>
      </x:c>
      <x:c r="D50" s="11" t="str">
        <x:v>指定位置/状态的硫总量或余量</x:v>
      </x:c>
      <x:c r="E50" s="11" t="str">
        <x:v>正极剩余硫2.8 mg（虚构）</x:v>
      </x:c>
      <x:c r="F50" s="11" t="str">
        <x:v>mg-S／mol-S等</x:v>
      </x:c>
      <x:c r="G50" s="11" t="str">
        <x:v>辨别硫损失或迁移</x:v>
      </x:c>
      <x:c r="H50" s="11" t="str">
        <x:v>关键论文深入</x:v>
      </x:c>
      <x:c r="I50" s="12" t="str">
        <x:v>待讨论</x:v>
      </x:c>
      <x:c r="J50" s="12" t="str"/>
    </x:row>
    <x:row r="51" ht="48" customHeight="1">
      <x:c r="A51" s="10" t="str">
        <x:v>机制／过程诊断</x:v>
      </x:c>
      <x:c r="B51" s="10" t="str">
        <x:v>剩余溶剂</x:v>
      </x:c>
      <x:c r="C51" s="10" t="str">
        <x:v>P2</x:v>
      </x:c>
      <x:c r="D51" s="10" t="str">
        <x:v>指定节点的溶剂含量</x:v>
      </x:c>
      <x:c r="E51" s="10" t="str">
        <x:v>DME剩余6 µL等效量（虚构）</x:v>
      </x:c>
      <x:c r="F51" s="10" t="str">
        <x:v>µL／mg／mol等</x:v>
      </x:c>
      <x:c r="G51" s="10" t="str">
        <x:v>判断电解液消耗</x:v>
      </x:c>
      <x:c r="H51" s="10" t="str">
        <x:v>关键论文深入；说明定量方法</x:v>
      </x:c>
      <x:c r="I51" s="12" t="str">
        <x:v>待讨论</x:v>
      </x:c>
      <x:c r="J51" s="12" t="str"/>
    </x:row>
    <x:row r="52" ht="48" customHeight="1">
      <x:c r="A52" s="11" t="str">
        <x:v>机制／过程诊断</x:v>
      </x:c>
      <x:c r="B52" s="11" t="str">
        <x:v>剩余LiNO₃</x:v>
      </x:c>
      <x:c r="C52" s="11" t="str">
        <x:v>P2</x:v>
      </x:c>
      <x:c r="D52" s="11" t="str">
        <x:v>指定节点的LiNO₃余量</x:v>
      </x:c>
      <x:c r="E52" s="11" t="str">
        <x:v>第100圈剩余1.0 µmol（虚构）</x:v>
      </x:c>
      <x:c r="F52" s="11" t="str">
        <x:v>µmol／mol/L等</x:v>
      </x:c>
      <x:c r="G52" s="11" t="str">
        <x:v>判断添加剂耗尽</x:v>
      </x:c>
      <x:c r="H52" s="11" t="str">
        <x:v>关键论文深入</x:v>
      </x:c>
      <x:c r="I52" s="12" t="str">
        <x:v>待讨论</x:v>
      </x:c>
      <x:c r="J52" s="12" t="str"/>
    </x:row>
    <x:row r="53" ht="48" customHeight="1">
      <x:c r="A53" s="10" t="str">
        <x:v>机制／过程诊断</x:v>
      </x:c>
      <x:c r="B53" s="10" t="str">
        <x:v>干预方式</x:v>
      </x:c>
      <x:c r="C53" s="10" t="str">
        <x:v>P2</x:v>
      </x:c>
      <x:c r="D53" s="10" t="str">
        <x:v>补液、换锂等改变及数量</x:v>
      </x:c>
      <x:c r="E53" s="10" t="str">
        <x:v>第100圈补加10 µL原电解液</x:v>
      </x:c>
      <x:c r="F53" s="10" t="str">
        <x:v>文本＋用量</x:v>
      </x:c>
      <x:c r="G53" s="10" t="str">
        <x:v>检验竞争机制解释</x:v>
      </x:c>
      <x:c r="H53" s="10" t="str">
        <x:v>关键论文深入；保留对照</x:v>
      </x:c>
      <x:c r="I53" s="12" t="str">
        <x:v>待讨论</x:v>
      </x:c>
      <x:c r="J53" s="12" t="str"/>
    </x:row>
    <x:row r="54" ht="48" customHeight="1">
      <x:c r="A54" s="11" t="str">
        <x:v>机制／过程诊断</x:v>
      </x:c>
      <x:c r="B54" s="11" t="str">
        <x:v>干预恢复表现</x:v>
      </x:c>
      <x:c r="C54" s="11" t="str">
        <x:v>P2</x:v>
      </x:c>
      <x:c r="D54" s="11" t="str">
        <x:v>干预前后同条件性能变化</x:v>
      </x:c>
      <x:c r="E54" s="11" t="str">
        <x:v>容量由500恢复至800 mAh/g-S</x:v>
      </x:c>
      <x:c r="F54" s="11" t="str">
        <x:v>对应性能单位</x:v>
      </x:c>
      <x:c r="G54" s="11" t="str">
        <x:v>检验干预响应</x:v>
      </x:c>
      <x:c r="H54" s="11" t="str">
        <x:v>与干预记录关联；恢复不单独证明机制</x:v>
      </x:c>
      <x:c r="I54" s="12" t="str">
        <x:v>待讨论</x:v>
      </x:c>
      <x:c r="J54" s="12" t="str"/>
    </x:row>
  </x:sheetData>
  <x:dataValidations count="1">
    <x:dataValidation type="list" sqref="I7:I54">
      <x:formula1>"待讨论,保留,简化,后置,删除"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9c878843ab4c8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.5" hidden="0" customWidth="1"/>
    <x:col min="2" max="2" width="22.5" hidden="0" customWidth="1"/>
    <x:col min="3" max="3" width="13.75" hidden="0" customWidth="1"/>
    <x:col min="4" max="4" width="35" hidden="0" customWidth="1"/>
    <x:col min="5" max="5" width="35.630001068115234" hidden="0" customWidth="1"/>
    <x:col min="6" max="6" width="18.1299991607666" hidden="0" customWidth="1"/>
    <x:col min="7" max="7" width="28.1299991607666" hidden="0" customWidth="1"/>
    <x:col min="8" max="8" width="31.8799991607666" hidden="0" customWidth="1"/>
    <x:col min="9" max="9" width="13.130000114440918" hidden="0" customWidth="1"/>
    <x:col min="10" max="10" width="31.25" hidden="0" customWidth="1"/>
  </x:cols>
  <x:sheetData>
    <x:row r="2">
      <x:c r="A2" s="1" t="str">
        <x:v>通用记录与溯源</x:v>
      </x:c>
    </x:row>
    <x:row r="3">
      <x:c r="A3" s="2" t="str">
        <x:v>这些信息保障链接、复核和复现，多数由程序维护；仅在相应记录适用时填写。</x:v>
      </x:c>
    </x:row>
    <x:row r="4">
      <x:c r="A4" s="2" t="str">
        <x:v>示例均为虚构/格式演示，不进入正式数据库；黄色列供讨论填写。未报告的数值留空，并填写缺失原因。</x:v>
      </x:c>
    </x:row>
    <x:row r="6" ht="32" customHeight="1">
      <x:c r="A6" s="9" t="str">
        <x:v>类别／角色</x:v>
      </x:c>
      <x:c r="B6" s="9" t="str">
        <x:v>拟提字段（中文表头）</x:v>
      </x:c>
      <x:c r="C6" s="9" t="str">
        <x:v>现行优先级</x:v>
      </x:c>
      <x:c r="D6" s="9" t="str">
        <x:v>含义与填写边界</x:v>
      </x:c>
      <x:c r="E6" s="9" t="str">
        <x:v>填写示例（本页均为演示）</x:v>
      </x:c>
      <x:c r="F6" s="9" t="str">
        <x:v>单位／格式</x:v>
      </x:c>
      <x:c r="G6" s="9" t="str">
        <x:v>研究用途</x:v>
      </x:c>
      <x:c r="H6" s="9" t="str">
        <x:v>精简建议（待讨论）</x:v>
      </x:c>
      <x:c r="I6" s="9" t="str">
        <x:v>讨论决定</x:v>
      </x:c>
      <x:c r="J6" s="9" t="str">
        <x:v>师兄／本人意见</x:v>
      </x:c>
    </x:row>
    <x:row r="7" ht="48" customHeight="1">
      <x:c r="A7" s="10" t="str">
        <x:v>文献管理／不作物性特征</x:v>
      </x:c>
      <x:c r="B7" s="10" t="str">
        <x:v>文献ID／旧编号</x:v>
      </x:c>
      <x:c r="C7" s="10" t="str">
        <x:v>基础记录</x:v>
      </x:c>
      <x:c r="D7" s="10" t="str">
        <x:v>稳定文献编号及旧S/P编号对应</x:v>
      </x:c>
      <x:c r="E7" s="10" t="str">
        <x:v>DEMO-P01；旧编号DEMO-S01</x:v>
      </x:c>
      <x:c r="F7" s="10" t="str">
        <x:v>ID</x:v>
      </x:c>
      <x:c r="G7" s="10" t="str">
        <x:v>连接多表并追溯旧材料</x:v>
      </x:c>
      <x:c r="H7" s="10" t="str">
        <x:v>系统维护；不重复人工填写</x:v>
      </x:c>
      <x:c r="I7" s="12" t="str">
        <x:v>待讨论</x:v>
      </x:c>
      <x:c r="J7" s="12" t="str"/>
    </x:row>
    <x:row r="8" ht="48" customHeight="1">
      <x:c r="A8" s="11" t="str">
        <x:v>文献管理／不作物性特征</x:v>
      </x:c>
      <x:c r="B8" s="11" t="str">
        <x:v>DOI</x:v>
      </x:c>
      <x:c r="C8" s="11" t="str">
        <x:v>基础记录</x:v>
      </x:c>
      <x:c r="D8" s="11" t="str">
        <x:v>论文唯一标识；无DOI则保留缺失</x:v>
      </x:c>
      <x:c r="E8" s="11" t="str">
        <x:v>示例：留空，不编造真实DOI</x:v>
      </x:c>
      <x:c r="F8" s="11" t="str">
        <x:v>文本</x:v>
      </x:c>
      <x:c r="G8" s="11" t="str">
        <x:v>去重与文献定位</x:v>
      </x:c>
      <x:c r="H8" s="11" t="str">
        <x:v>导入已有清单</x:v>
      </x:c>
      <x:c r="I8" s="12" t="str">
        <x:v>待讨论</x:v>
      </x:c>
      <x:c r="J8" s="12" t="str"/>
    </x:row>
    <x:row r="9" ht="48" customHeight="1">
      <x:c r="A9" s="10" t="str">
        <x:v>文献管理／不作物性特征</x:v>
      </x:c>
      <x:c r="B9" s="10" t="str">
        <x:v>来源批次</x:v>
      </x:c>
      <x:c r="C9" s="10" t="str">
        <x:v>基础记录</x:v>
      </x:c>
      <x:c r="D9" s="10" t="str">
        <x:v>最初来自23篇精读、30篇试提或新增</x:v>
      </x:c>
      <x:c r="E9" s="10" t="str">
        <x:v>deep_read_23</x:v>
      </x:c>
      <x:c r="F9" s="10" t="str">
        <x:v>分类，可多来源</x:v>
      </x:c>
      <x:c r="G9" s="10" t="str">
        <x:v>保留开发历史</x:v>
      </x:c>
      <x:c r="H9" s="10" t="str">
        <x:v>导入已有记录</x:v>
      </x:c>
      <x:c r="I9" s="12" t="str">
        <x:v>待讨论</x:v>
      </x:c>
      <x:c r="J9" s="12" t="str"/>
    </x:row>
    <x:row r="10" ht="48" customHeight="1">
      <x:c r="A10" s="11" t="str">
        <x:v>文献管理／不作物性特征</x:v>
      </x:c>
      <x:c r="B10" s="11" t="str">
        <x:v>数据集用途</x:v>
      </x:c>
      <x:c r="C10" s="11" t="str">
        <x:v>基础记录</x:v>
      </x:c>
      <x:c r="D10" s="11" t="str">
        <x:v>开发、独立提取测试、机制留出或未分配</x:v>
      </x:c>
      <x:c r="E10" s="11" t="str">
        <x:v>development</x:v>
      </x:c>
      <x:c r="F10" s="11" t="str">
        <x:v>分类</x:v>
      </x:c>
      <x:c r="G10" s="11" t="str">
        <x:v>避免测试泄漏</x:v>
      </x:c>
      <x:c r="H10" s="11" t="str">
        <x:v>管理字段；不当输入特征</x:v>
      </x:c>
      <x:c r="I10" s="12" t="str">
        <x:v>待讨论</x:v>
      </x:c>
      <x:c r="J10" s="12" t="str"/>
    </x:row>
    <x:row r="11" ht="48" customHeight="1">
      <x:c r="A11" s="10" t="str">
        <x:v>文献管理／不作物性特征</x:v>
      </x:c>
      <x:c r="B11" s="10" t="str">
        <x:v>纳入资格</x:v>
      </x:c>
      <x:c r="C11" s="10" t="str">
        <x:v>基础记录</x:v>
      </x:c>
      <x:c r="D11" s="10" t="str">
        <x:v>Ⅰ/Ⅱ类是否符合及排除原因</x:v>
      </x:c>
      <x:c r="E11" s="10" t="str">
        <x:v>Ⅰ类合格；Ⅱ类待核</x:v>
      </x:c>
      <x:c r="F11" s="10" t="str">
        <x:v>分类＋理由</x:v>
      </x:c>
      <x:c r="G11" s="10" t="str">
        <x:v>确定分析分母</x:v>
      </x:c>
      <x:c r="H11" s="10" t="str">
        <x:v>复用筛选表，提取时核实</x:v>
      </x:c>
      <x:c r="I11" s="12" t="str">
        <x:v>待讨论</x:v>
      </x:c>
      <x:c r="J11" s="12" t="str"/>
    </x:row>
    <x:row r="12" ht="48" customHeight="1">
      <x:c r="A12" s="11" t="str">
        <x:v>文献管理／不作物性特征</x:v>
      </x:c>
      <x:c r="B12" s="11" t="str">
        <x:v>主层／比较层别</x:v>
      </x:c>
      <x:c r="C12" s="11" t="str">
        <x:v>基础记录</x:v>
      </x:c>
      <x:c r="D12" s="11" t="str">
        <x:v>主层资格与C/M/A/N比较层分开记</x:v>
      </x:c>
      <x:c r="E12" s="11" t="str">
        <x:v>主层；C+N</x:v>
      </x:c>
      <x:c r="F12" s="11" t="str">
        <x:v>分类</x:v>
      </x:c>
      <x:c r="G12" s="11" t="str">
        <x:v>分层分析</x:v>
      </x:c>
      <x:c r="H12" s="11" t="str">
        <x:v>论文可含多层，不强制互斥</x:v>
      </x:c>
      <x:c r="I12" s="12" t="str">
        <x:v>待讨论</x:v>
      </x:c>
      <x:c r="J12" s="12" t="str"/>
    </x:row>
    <x:row r="13" ht="48" customHeight="1">
      <x:c r="A13" s="10" t="str">
        <x:v>文献管理／不作物性特征</x:v>
      </x:c>
      <x:c r="B13" s="10" t="str">
        <x:v>处理状态</x:v>
      </x:c>
      <x:c r="C13" s="10" t="str">
        <x:v>基础记录</x:v>
      </x:c>
      <x:c r="D13" s="10" t="str">
        <x:v>尚未提取、部分提取、已映射、待核等</x:v>
      </x:c>
      <x:c r="E13" s="10" t="str">
        <x:v>部分提取；缺温度核对</x:v>
      </x:c>
      <x:c r="F13" s="10" t="str">
        <x:v>分类＋备注</x:v>
      </x:c>
      <x:c r="G13" s="10" t="str">
        <x:v>跟踪任务进度</x:v>
      </x:c>
      <x:c r="H13" s="10" t="str">
        <x:v>系统维护</x:v>
      </x:c>
      <x:c r="I13" s="12" t="str">
        <x:v>待讨论</x:v>
      </x:c>
      <x:c r="J13" s="12" t="str"/>
    </x:row>
    <x:row r="14" ht="48" customHeight="1">
      <x:c r="A14" s="11" t="str">
        <x:v>文献管理／不作物性特征</x:v>
      </x:c>
      <x:c r="B14" s="11" t="str">
        <x:v>记录ID及外键</x:v>
      </x:c>
      <x:c r="C14" s="11" t="str">
        <x:v>基础记录</x:v>
      </x:c>
      <x:c r="D14" s="11" t="str">
        <x:v>配方、体系、测试、观测、比较等编号</x:v>
      </x:c>
      <x:c r="E14" s="11" t="str">
        <x:v>F-A→S-A→T-A→O-A01</x:v>
      </x:c>
      <x:c r="F14" s="11" t="str">
        <x:v>ID</x:v>
      </x:c>
      <x:c r="G14" s="11" t="str">
        <x:v>共享引用，防止重复抄写</x:v>
      </x:c>
      <x:c r="H14" s="11" t="str">
        <x:v>系统维护；复核表可隐藏技术编号</x:v>
      </x:c>
      <x:c r="I14" s="12" t="str">
        <x:v>待讨论</x:v>
      </x:c>
      <x:c r="J14" s="12" t="str"/>
    </x:row>
    <x:row r="15" ht="48" customHeight="1">
      <x:c r="A15" s="10" t="str">
        <x:v>文献管理／不作物性特征</x:v>
      </x:c>
      <x:c r="B15" s="10" t="str">
        <x:v>旧记录引用</x:v>
      </x:c>
      <x:c r="C15" s="10" t="str">
        <x:v>基础记录</x:v>
      </x:c>
      <x:c r="D15" s="10" t="str">
        <x:v>迁移前对应的文件和记录编号</x:v>
      </x:c>
      <x:c r="E15" s="10" t="str">
        <x:v>旧JSON记录C03</x:v>
      </x:c>
      <x:c r="F15" s="10" t="str">
        <x:v>文本／ID</x:v>
      </x:c>
      <x:c r="G15" s="10" t="str">
        <x:v>保留修改历史</x:v>
      </x:c>
      <x:c r="H15" s="10" t="str">
        <x:v>迁移时自动带入</x:v>
      </x:c>
      <x:c r="I15" s="12" t="str">
        <x:v>待讨论</x:v>
      </x:c>
      <x:c r="J15" s="12" t="str"/>
    </x:row>
    <x:row r="16" ht="48" customHeight="1">
      <x:c r="A16" s="11" t="str">
        <x:v>数值通用属性／随每项观测</x:v>
      </x:c>
      <x:c r="B16" s="11" t="str">
        <x:v>性质代码／名称</x:v>
      </x:c>
      <x:c r="C16" s="11" t="str">
        <x:v>基础记录</x:v>
      </x:c>
      <x:c r="D16" s="11" t="str">
        <x:v>这条观测测量的是什么</x:v>
      </x:c>
      <x:c r="E16" s="11" t="str">
        <x:v>specific_capacity；比容量</x:v>
      </x:c>
      <x:c r="F16" s="11" t="str">
        <x:v>代码／中文名</x:v>
      </x:c>
      <x:c r="G16" s="11" t="str">
        <x:v>用长表容纳任意指标</x:v>
      </x:c>
      <x:c r="H16" s="11" t="str">
        <x:v>建立统一词表；不限制为描述符1/2/3</x:v>
      </x:c>
      <x:c r="I16" s="12" t="str">
        <x:v>待讨论</x:v>
      </x:c>
      <x:c r="J16" s="12" t="str"/>
    </x:row>
    <x:row r="17" ht="48" customHeight="1">
      <x:c r="A17" s="10" t="str">
        <x:v>数值通用属性／随每项观测</x:v>
      </x:c>
      <x:c r="B17" s="10" t="str">
        <x:v>作用对象</x:v>
      </x:c>
      <x:c r="C17" s="10" t="str">
        <x:v>基础记录</x:v>
      </x:c>
      <x:c r="D17" s="10" t="str">
        <x:v>对应物种、原子对或电极对象</x:v>
      </x:c>
      <x:c r="E17" s="10" t="str">
        <x:v>Li⁺；Li–O(DME)；硫正极</x:v>
      </x:c>
      <x:c r="F17" s="10" t="str">
        <x:v>文本</x:v>
      </x:c>
      <x:c r="G17" s="10" t="str">
        <x:v>区分Li⁺与LiPS等不同对象</x:v>
      </x:c>
      <x:c r="H17" s="10" t="str">
        <x:v>与数值一起保留</x:v>
      </x:c>
      <x:c r="I17" s="12" t="str">
        <x:v>待讨论</x:v>
      </x:c>
      <x:c r="J17" s="12" t="str"/>
    </x:row>
    <x:row r="18" ht="48" customHeight="1">
      <x:c r="A18" s="11" t="str">
        <x:v>数值通用属性／随每项观测</x:v>
      </x:c>
      <x:c r="B18" s="11" t="str">
        <x:v>变量角色</x:v>
      </x:c>
      <x:c r="C18" s="11" t="str">
        <x:v>基础记录</x:v>
      </x:c>
      <x:c r="D18" s="11" t="str">
        <x:v>设计、条件、初始性质、过程、诊断或结果</x:v>
      </x:c>
      <x:c r="E18" s="11" t="str">
        <x:v>outcome：循环容量</x:v>
      </x:c>
      <x:c r="F18" s="11" t="str">
        <x:v>分类</x:v>
      </x:c>
      <x:c r="G18" s="11" t="str">
        <x:v>避免将循环后结果当先验特征</x:v>
      </x:c>
      <x:c r="H18" s="11" t="str">
        <x:v>保留；按节点判断</x:v>
      </x:c>
      <x:c r="I18" s="12" t="str">
        <x:v>待讨论</x:v>
      </x:c>
      <x:c r="J18" s="12" t="str"/>
    </x:row>
    <x:row r="19" ht="48" customHeight="1">
      <x:c r="A19" s="10" t="str">
        <x:v>数值通用属性／随每项观测</x:v>
      </x:c>
      <x:c r="B19" s="10" t="str">
        <x:v>原始文字</x:v>
      </x:c>
      <x:c r="C19" s="10" t="str">
        <x:v>基础记录</x:v>
      </x:c>
      <x:c r="D19" s="10" t="str">
        <x:v>原文的数值表达或定性描述</x:v>
      </x:c>
      <x:c r="E19" s="10" t="str">
        <x:v>“about 1000 mAh g−1”（虚构句）</x:v>
      </x:c>
      <x:c r="F19" s="10" t="str">
        <x:v>文本</x:v>
      </x:c>
      <x:c r="G19" s="10" t="str">
        <x:v>保留约数与原始表达</x:v>
      </x:c>
      <x:c r="H19" s="10" t="str">
        <x:v>与原句证据关联</x:v>
      </x:c>
      <x:c r="I19" s="12" t="str">
        <x:v>待讨论</x:v>
      </x:c>
      <x:c r="J19" s="12" t="str"/>
    </x:row>
    <x:row r="20" ht="48" customHeight="1">
      <x:c r="A20" s="11" t="str">
        <x:v>数值通用属性／随每项观测</x:v>
      </x:c>
      <x:c r="B20" s="11" t="str">
        <x:v>数值类型</x:v>
      </x:c>
      <x:c r="C20" s="11" t="str">
        <x:v>基础记录</x:v>
      </x:c>
      <x:c r="D20" s="11" t="str">
        <x:v>数值、定性、区间或缺失</x:v>
      </x:c>
      <x:c r="E20" s="11" t="str">
        <x:v>numeric／qualitative／interval／missing</x:v>
      </x:c>
      <x:c r="F20" s="11" t="str">
        <x:v>分类</x:v>
      </x:c>
      <x:c r="G20" s="11" t="str">
        <x:v>区分可计算与不可计算记录</x:v>
      </x:c>
      <x:c r="H20" s="11" t="str">
        <x:v>保留</x:v>
      </x:c>
      <x:c r="I20" s="12" t="str">
        <x:v>待讨论</x:v>
      </x:c>
      <x:c r="J20" s="12" t="str"/>
    </x:row>
    <x:row r="21" ht="48" customHeight="1">
      <x:c r="A21" s="10" t="str">
        <x:v>数值通用属性／随每项观测</x:v>
      </x:c>
      <x:c r="B21" s="10" t="str">
        <x:v>原始数值与单位</x:v>
      </x:c>
      <x:c r="C21" s="10" t="str">
        <x:v>基础记录</x:v>
      </x:c>
      <x:c r="D21" s="10" t="str">
        <x:v>论文数值及作者单位分别保存</x:v>
      </x:c>
      <x:c r="E21" s="10" t="str">
        <x:v>数值1000；单位mAh/g-S</x:v>
      </x:c>
      <x:c r="F21" s="10" t="str">
        <x:v>数值＋单位</x:v>
      </x:c>
      <x:c r="G21" s="10" t="str">
        <x:v>保存事实，支持规范化</x:v>
      </x:c>
      <x:c r="H21" s="10" t="str">
        <x:v>保留；原值不被换算覆盖</x:v>
      </x:c>
      <x:c r="I21" s="12" t="str">
        <x:v>待讨论</x:v>
      </x:c>
      <x:c r="J21" s="12" t="str"/>
    </x:row>
    <x:row r="22" ht="48" customHeight="1">
      <x:c r="A22" s="11" t="str">
        <x:v>数值通用属性／随每项观测</x:v>
      </x:c>
      <x:c r="B22" s="11" t="str">
        <x:v>规范值与单位</x:v>
      </x:c>
      <x:c r="C22" s="11" t="str">
        <x:v>基础记录</x:v>
      </x:c>
      <x:c r="D22" s="11" t="str">
        <x:v>换算后的数值、单位及说明</x:v>
      </x:c>
      <x:c r="E22" s="11" t="str">
        <x:v>20 µL→0.020 mL</x:v>
      </x:c>
      <x:c r="F22" s="11" t="str">
        <x:v>数值＋单位</x:v>
      </x:c>
      <x:c r="G22" s="11" t="str">
        <x:v>统一分析口径</x:v>
      </x:c>
      <x:c r="H22" s="11" t="str">
        <x:v>代码生成；保留换算说明</x:v>
      </x:c>
      <x:c r="I22" s="12" t="str">
        <x:v>待讨论</x:v>
      </x:c>
      <x:c r="J22" s="12" t="str"/>
    </x:row>
    <x:row r="23" ht="48" customHeight="1">
      <x:c r="A23" s="10" t="str">
        <x:v>数值通用属性／随每项观测</x:v>
      </x:c>
      <x:c r="B23" s="10" t="str">
        <x:v>数值基准</x:v>
      </x:c>
      <x:c r="C23" s="10" t="str">
        <x:v>基础记录</x:v>
      </x:c>
      <x:c r="D23" s="10" t="str">
        <x:v>分母或归一化对象</x:v>
      </x:c>
      <x:c r="E23" s="10" t="str">
        <x:v>按硫质量；按Li₂S₆式量</x:v>
      </x:c>
      <x:c r="F23" s="10" t="str">
        <x:v>文本</x:v>
      </x:c>
      <x:c r="G23" s="10" t="str">
        <x:v>保证语义可比</x:v>
      </x:c>
      <x:c r="H23" s="10" t="str">
        <x:v>随数值保存</x:v>
      </x:c>
      <x:c r="I23" s="12" t="str">
        <x:v>待讨论</x:v>
      </x:c>
      <x:c r="J23" s="12" t="str"/>
    </x:row>
    <x:row r="24" ht="48" customHeight="1">
      <x:c r="A24" s="11" t="str">
        <x:v>数值通用属性／随每项观测</x:v>
      </x:c>
      <x:c r="B24" s="11" t="str">
        <x:v>上下限／关系符号</x:v>
      </x:c>
      <x:c r="C24" s="11" t="str">
        <x:v>基础记录</x:v>
      </x:c>
      <x:c r="D24" s="11" t="str">
        <x:v>区间或约数/阈值限定</x:v>
      </x:c>
      <x:c r="E24" s="11" t="str">
        <x:v>5–7；约6；小于0.01</x:v>
      </x:c>
      <x:c r="F24" s="11" t="str">
        <x:v>原值单位</x:v>
      </x:c>
      <x:c r="G24" s="11" t="str">
        <x:v>保存不精确测量</x:v>
      </x:c>
      <x:c r="H24" s="11" t="str">
        <x:v>适用时填写，不能取中点冒充实测</x:v>
      </x:c>
      <x:c r="I24" s="12" t="str">
        <x:v>待讨论</x:v>
      </x:c>
      <x:c r="J24" s="12" t="str"/>
    </x:row>
    <x:row r="25" ht="48" customHeight="1">
      <x:c r="A25" s="10" t="str">
        <x:v>数值通用属性／随每项观测</x:v>
      </x:c>
      <x:c r="B25" s="10" t="str">
        <x:v>缺失原因</x:v>
      </x:c>
      <x:c r="C25" s="10" t="str">
        <x:v>基础记录</x:v>
      </x:c>
      <x:c r="D25" s="10" t="str">
        <x:v>未提、查后未报告、仅图、条件不明等</x:v>
      </x:c>
      <x:c r="E25" s="10" t="str">
        <x:v>figure_only：正文无数值，仅Fig.3</x:v>
      </x:c>
      <x:c r="F25" s="10" t="str">
        <x:v>分类＋备注</x:v>
      </x:c>
      <x:c r="G25" s="10" t="str">
        <x:v>区分未做与做不到</x:v>
      </x:c>
      <x:c r="H25" s="10" t="str">
        <x:v>保留；数值格留空，不填0</x:v>
      </x:c>
      <x:c r="I25" s="12" t="str">
        <x:v>待讨论</x:v>
      </x:c>
      <x:c r="J25" s="12" t="str"/>
    </x:row>
    <x:row r="26" ht="48" customHeight="1">
      <x:c r="A26" s="11" t="str">
        <x:v>数值通用属性／随每项观测</x:v>
      </x:c>
      <x:c r="B26" s="11" t="str">
        <x:v>误差类型</x:v>
      </x:c>
      <x:c r="C26" s="11" t="str">
        <x:v>基础记录</x:v>
      </x:c>
      <x:c r="D26" s="11" t="str">
        <x:v>作者误差为SD、SE、CI或范围等</x:v>
      </x:c>
      <x:c r="E26" s="11" t="str">
        <x:v>SD</x:v>
      </x:c>
      <x:c r="F26" s="11" t="str">
        <x:v>分类</x:v>
      </x:c>
      <x:c r="G26" s="11" t="str">
        <x:v>判断不确定性可比性</x:v>
      </x:c>
      <x:c r="H26" s="11" t="str">
        <x:v>有则提；未说不猜</x:v>
      </x:c>
      <x:c r="I26" s="12" t="str">
        <x:v>待讨论</x:v>
      </x:c>
      <x:c r="J26" s="12" t="str"/>
    </x:row>
    <x:row r="27" ht="48" customHeight="1">
      <x:c r="A27" s="10" t="str">
        <x:v>数值通用属性／随每项观测</x:v>
      </x:c>
      <x:c r="B27" s="10" t="str">
        <x:v>误差数值／区间</x:v>
      </x:c>
      <x:c r="C27" s="10" t="str">
        <x:v>基础记录</x:v>
      </x:c>
      <x:c r="D27" s="10" t="str">
        <x:v>作者报告的不确定性大小</x:v>
      </x:c>
      <x:c r="E27" s="10" t="str">
        <x:v>SD=20；或95%CI=[960,1040]</x:v>
      </x:c>
      <x:c r="F27" s="10" t="str">
        <x:v>原值单位</x:v>
      </x:c>
      <x:c r="G27" s="10" t="str">
        <x:v>保留重复差异</x:v>
      </x:c>
      <x:c r="H27" s="10" t="str">
        <x:v>有则提</x:v>
      </x:c>
      <x:c r="I27" s="12" t="str">
        <x:v>待讨论</x:v>
      </x:c>
      <x:c r="J27" s="12" t="str"/>
    </x:row>
    <x:row r="28" ht="48" customHeight="1">
      <x:c r="A28" s="11" t="str">
        <x:v>数值通用属性／随每项观测</x:v>
      </x:c>
      <x:c r="B28" s="11" t="str">
        <x:v>重复数n</x:v>
      </x:c>
      <x:c r="C28" s="11" t="str">
        <x:v>基础记录</x:v>
      </x:c>
      <x:c r="D28" s="11" t="str">
        <x:v>真正独立的实验/模拟重复数量</x:v>
      </x:c>
      <x:c r="E28" s="11" t="str">
        <x:v>3</x:v>
      </x:c>
      <x:c r="F28" s="11" t="str">
        <x:v>个</x:v>
      </x:c>
      <x:c r="G28" s="11" t="str">
        <x:v>判断结果重复性</x:v>
      </x:c>
      <x:c r="H28" s="11" t="str">
        <x:v>有则提；曲线取点数不是n</x:v>
      </x:c>
      <x:c r="I28" s="12" t="str">
        <x:v>待讨论</x:v>
      </x:c>
      <x:c r="J28" s="12" t="str"/>
    </x:row>
    <x:row r="29" ht="48" customHeight="1">
      <x:c r="A29" s="10" t="str">
        <x:v>数值通用属性／随每项观测</x:v>
      </x:c>
      <x:c r="B29" s="10" t="str">
        <x:v>置信水平／检出限</x:v>
      </x:c>
      <x:c r="C29" s="10" t="str">
        <x:v>基础记录</x:v>
      </x:c>
      <x:c r="D29" s="10" t="str">
        <x:v>区间对应置信水平或测量检出限</x:v>
      </x:c>
      <x:c r="E29" s="10" t="str">
        <x:v>95%CI；检出限0.01 mol/L</x:v>
      </x:c>
      <x:c r="F29" s="10" t="str">
        <x:v>%／原单位</x:v>
      </x:c>
      <x:c r="G29" s="10" t="str">
        <x:v>解释区间与低于检出限</x:v>
      </x:c>
      <x:c r="H29" s="10" t="str">
        <x:v>仅适用记录填写</x:v>
      </x:c>
      <x:c r="I29" s="12" t="str">
        <x:v>待讨论</x:v>
      </x:c>
      <x:c r="J29" s="12" t="str"/>
    </x:row>
    <x:row r="30" ht="48" customHeight="1">
      <x:c r="A30" s="11" t="str">
        <x:v>数值通用属性／随每项观测</x:v>
      </x:c>
      <x:c r="B30" s="11" t="str">
        <x:v>取值点／状态节点</x:v>
      </x:c>
      <x:c r="C30" s="11" t="str">
        <x:v>基础记录</x:v>
      </x:c>
      <x:c r="D30" s="11" t="str">
        <x:v>温度、圈数、SOC、电位、时间等</x:v>
      </x:c>
      <x:c r="E30" s="11" t="str">
        <x:v>100圈；放电终点；2.0 V</x:v>
      </x:c>
      <x:c r="F30" s="11" t="str">
        <x:v>依节点</x:v>
      </x:c>
      <x:c r="G30" s="11" t="str">
        <x:v>绑定结果到正确状态</x:v>
      </x:c>
      <x:c r="H30" s="11" t="str">
        <x:v>保留已报告节点</x:v>
      </x:c>
      <x:c r="I30" s="12" t="str">
        <x:v>待讨论</x:v>
      </x:c>
      <x:c r="J30" s="12" t="str"/>
    </x:row>
    <x:row r="31" ht="48" customHeight="1">
      <x:c r="A31" s="10" t="str">
        <x:v>数值通用属性／随每项观测</x:v>
      </x:c>
      <x:c r="B31" s="10" t="str">
        <x:v>测量／计算方法</x:v>
      </x:c>
      <x:c r="C31" s="10" t="str">
        <x:v>基础记录</x:v>
      </x:c>
      <x:c r="D31" s="10" t="str">
        <x:v>具体测法和必要定义</x:v>
      </x:c>
      <x:c r="E31" s="10" t="str">
        <x:v>PFG-NMR测自扩散；MD轨迹统计</x:v>
      </x:c>
      <x:c r="F31" s="10" t="str">
        <x:v>文本</x:v>
      </x:c>
      <x:c r="G31" s="10" t="str">
        <x:v>区分不同方法的观测</x:v>
      </x:c>
      <x:c r="H31" s="10" t="str">
        <x:v>有则提；细协议引用测试记录</x:v>
      </x:c>
      <x:c r="I31" s="12" t="str">
        <x:v>待讨论</x:v>
      </x:c>
      <x:c r="J31" s="12" t="str"/>
    </x:row>
    <x:row r="32" ht="48" customHeight="1">
      <x:c r="A32" s="11" t="str">
        <x:v>数值通用属性／随每项观测</x:v>
      </x:c>
      <x:c r="B32" s="11" t="str">
        <x:v>来源类别</x:v>
      </x:c>
      <x:c r="C32" s="11" t="str">
        <x:v>基础记录</x:v>
      </x:c>
      <x:c r="D32" s="11" t="str">
        <x:v>实测、文献模拟、外部参考或本课题计算</x:v>
      </x:c>
      <x:c r="E32" s="11" t="str">
        <x:v>reported_experiment；our_formula</x:v>
      </x:c>
      <x:c r="F32" s="11" t="str">
        <x:v>分类</x:v>
      </x:c>
      <x:c r="G32" s="11" t="str">
        <x:v>区分证据性质</x:v>
      </x:c>
      <x:c r="H32" s="11" t="str">
        <x:v>保留；AI提取不是测量来源</x:v>
      </x:c>
      <x:c r="I32" s="12" t="str">
        <x:v>待讨论</x:v>
      </x:c>
      <x:c r="J32" s="12" t="str"/>
    </x:row>
    <x:row r="33" ht="48" customHeight="1">
      <x:c r="A33" s="10" t="str">
        <x:v>出处与复核／不作物性特征</x:v>
      </x:c>
      <x:c r="B33" s="10" t="str">
        <x:v>证据ID</x:v>
      </x:c>
      <x:c r="C33" s="10" t="str">
        <x:v>基础记录</x:v>
      </x:c>
      <x:c r="D33" s="10" t="str">
        <x:v>一段可定位证据的稳定编号</x:v>
      </x:c>
      <x:c r="E33" s="10" t="str">
        <x:v>DEMO-E01</x:v>
      </x:c>
      <x:c r="F33" s="10" t="str">
        <x:v>ID</x:v>
      </x:c>
      <x:c r="G33" s="10" t="str">
        <x:v>多条观测共享同一出处</x:v>
      </x:c>
      <x:c r="H33" s="10" t="str">
        <x:v>系统生成</x:v>
      </x:c>
      <x:c r="I33" s="12" t="str">
        <x:v>待讨论</x:v>
      </x:c>
      <x:c r="J33" s="12" t="str"/>
    </x:row>
    <x:row r="34" ht="48" customHeight="1">
      <x:c r="A34" s="11" t="str">
        <x:v>出处与复核／不作物性特征</x:v>
      </x:c>
      <x:c r="B34" s="11" t="str">
        <x:v>正文／SI／外部</x:v>
      </x:c>
      <x:c r="C34" s="11" t="str">
        <x:v>基础记录</x:v>
      </x:c>
      <x:c r="D34" s="11" t="str">
        <x:v>证据出自哪份文件</x:v>
      </x:c>
      <x:c r="E34" s="11" t="str">
        <x:v>SI</x:v>
      </x:c>
      <x:c r="F34" s="11" t="str">
        <x:v>分类</x:v>
      </x:c>
      <x:c r="G34" s="11" t="str">
        <x:v>准确定位证据</x:v>
      </x:c>
      <x:c r="H34" s="11" t="str">
        <x:v>保留</x:v>
      </x:c>
      <x:c r="I34" s="12" t="str">
        <x:v>待讨论</x:v>
      </x:c>
      <x:c r="J34" s="12" t="str"/>
    </x:row>
    <x:row r="35" ht="48" customHeight="1">
      <x:c r="A35" s="10" t="str">
        <x:v>出处与复核／不作物性特征</x:v>
      </x:c>
      <x:c r="B35" s="10" t="str">
        <x:v>页码／图表位置</x:v>
      </x:c>
      <x:c r="C35" s="10" t="str">
        <x:v>基础记录</x:v>
      </x:c>
      <x:c r="D35" s="10" t="str">
        <x:v>页码、图号、表号或段落位置</x:v>
      </x:c>
      <x:c r="E35" s="10" t="str">
        <x:v>SI p.3，Table S1（虚构）</x:v>
      </x:c>
      <x:c r="F35" s="10" t="str">
        <x:v>文本</x:v>
      </x:c>
      <x:c r="G35" s="10" t="str">
        <x:v>便于人工查原文</x:v>
      </x:c>
      <x:c r="H35" s="10" t="str">
        <x:v>保留</x:v>
      </x:c>
      <x:c r="I35" s="12" t="str">
        <x:v>待讨论</x:v>
      </x:c>
      <x:c r="J35" s="12" t="str"/>
    </x:row>
    <x:row r="36" ht="48" customHeight="1">
      <x:c r="A36" s="11" t="str">
        <x:v>出处与复核／不作物性特征</x:v>
      </x:c>
      <x:c r="B36" s="11" t="str">
        <x:v>原句</x:v>
      </x:c>
      <x:c r="C36" s="11" t="str">
        <x:v>基础记录</x:v>
      </x:c>
      <x:c r="D36" s="11" t="str">
        <x:v>支撑这项事实的原文片段</x:v>
      </x:c>
      <x:c r="E36" s="11" t="str">
        <x:v>“Cells were cycled at 0.5 C.”（虚构）</x:v>
      </x:c>
      <x:c r="F36" s="11" t="str">
        <x:v>文本</x:v>
      </x:c>
      <x:c r="G36" s="11" t="str">
        <x:v>人工复核依据</x:v>
      </x:c>
      <x:c r="H36" s="11" t="str">
        <x:v>保留；不自动证明配对正确</x:v>
      </x:c>
      <x:c r="I36" s="12" t="str">
        <x:v>待讨论</x:v>
      </x:c>
      <x:c r="J36" s="12" t="str"/>
    </x:row>
    <x:row r="37" ht="48" customHeight="1">
      <x:c r="A37" s="10" t="str">
        <x:v>出处与复核／不作物性特征</x:v>
      </x:c>
      <x:c r="B37" s="10" t="str">
        <x:v>本地来源路径</x:v>
      </x:c>
      <x:c r="C37" s="10" t="str">
        <x:v>基础记录</x:v>
      </x:c>
      <x:c r="D37" s="10" t="str">
        <x:v>正文/SI文本或PDF位置</x:v>
      </x:c>
      <x:c r="E37" s="10" t="str">
        <x:v>output/text_cache/示例.main.txt</x:v>
      </x:c>
      <x:c r="F37" s="10" t="str">
        <x:v>路径</x:v>
      </x:c>
      <x:c r="G37" s="10" t="str">
        <x:v>回到原始来源</x:v>
      </x:c>
      <x:c r="H37" s="10" t="str">
        <x:v>系统维护</x:v>
      </x:c>
      <x:c r="I37" s="12" t="str">
        <x:v>待讨论</x:v>
      </x:c>
      <x:c r="J37" s="12" t="str"/>
    </x:row>
    <x:row r="38" ht="48" customHeight="1">
      <x:c r="A38" s="11" t="str">
        <x:v>出处与复核／不作物性特征</x:v>
      </x:c>
      <x:c r="B38" s="11" t="str">
        <x:v>证据核验状态</x:v>
      </x:c>
      <x:c r="C38" s="11" t="str">
        <x:v>基础记录</x:v>
      </x:c>
      <x:c r="D38" s="11" t="str">
        <x:v>未核、文字匹配、AI上下文核对、人工确认</x:v>
      </x:c>
      <x:c r="E38" s="11" t="str">
        <x:v>text_matched</x:v>
      </x:c>
      <x:c r="F38" s="11" t="str">
        <x:v>分类</x:v>
      </x:c>
      <x:c r="G38" s="11" t="str">
        <x:v>区分出处检查与事实确认</x:v>
      </x:c>
      <x:c r="H38" s="11" t="str">
        <x:v>保留</x:v>
      </x:c>
      <x:c r="I38" s="12" t="str">
        <x:v>待讨论</x:v>
      </x:c>
      <x:c r="J38" s="12" t="str"/>
    </x:row>
    <x:row r="39" ht="48" customHeight="1">
      <x:c r="A39" s="10" t="str">
        <x:v>出处与复核／不作物性特征</x:v>
      </x:c>
      <x:c r="B39" s="10" t="str">
        <x:v>记录复核状态</x:v>
      </x:c>
      <x:c r="C39" s="10" t="str">
        <x:v>基础记录</x:v>
      </x:c>
      <x:c r="D39" s="10" t="str">
        <x:v>AI提取、AI核对、人工确认或争议</x:v>
      </x:c>
      <x:c r="E39" s="10" t="str">
        <x:v>ai_checked；尚未人工确认</x:v>
      </x:c>
      <x:c r="F39" s="10" t="str">
        <x:v>分类</x:v>
      </x:c>
      <x:c r="G39" s="10" t="str">
        <x:v>决定能否作人工标准</x:v>
      </x:c>
      <x:c r="H39" s="10" t="str">
        <x:v>保留；AI不能代填人工确认</x:v>
      </x:c>
      <x:c r="I39" s="12" t="str">
        <x:v>待讨论</x:v>
      </x:c>
      <x:c r="J39" s="12" t="str"/>
    </x:row>
    <x:row r="40" ht="48" customHeight="1">
      <x:c r="A40" s="11" t="str">
        <x:v>出处与复核／不作物性特征</x:v>
      </x:c>
      <x:c r="B40" s="11" t="str">
        <x:v>复核人／时间／说明</x:v>
      </x:c>
      <x:c r="C40" s="11" t="str">
        <x:v>基础记录</x:v>
      </x:c>
      <x:c r="D40" s="11" t="str">
        <x:v>谁在何时确认、还有什么问题</x:v>
      </x:c>
      <x:c r="E40" s="11" t="str">
        <x:v>复核人留空；说明“待核条件对应”</x:v>
      </x:c>
      <x:c r="F40" s="11" t="str">
        <x:v>文本／时间</x:v>
      </x:c>
      <x:c r="G40" s="11" t="str">
        <x:v>保留审计线索</x:v>
      </x:c>
      <x:c r="H40" s="11" t="str">
        <x:v>人工填写；系统自动记时间</x:v>
      </x:c>
      <x:c r="I40" s="12" t="str">
        <x:v>待讨论</x:v>
      </x:c>
      <x:c r="J40" s="12" t="str"/>
    </x:row>
    <x:row r="41" ht="48" customHeight="1">
      <x:c r="A41" s="10" t="str">
        <x:v>派生计算／仅计算记录</x:v>
      </x:c>
      <x:c r="B41" s="10" t="str">
        <x:v>公式ID／版本</x:v>
      </x:c>
      <x:c r="C41" s="10" t="str">
        <x:v>条件填写</x:v>
      </x:c>
      <x:c r="D41" s="10" t="str">
        <x:v>使用哪条冻结公式</x:v>
      </x:c>
      <x:c r="E41" s="10" t="str">
        <x:v>retention_v1</x:v>
      </x:c>
      <x:c r="F41" s="10" t="str">
        <x:v>ID</x:v>
      </x:c>
      <x:c r="G41" s="10" t="str">
        <x:v>可重复生成派生值</x:v>
      </x:c>
      <x:c r="H41" s="10" t="str">
        <x:v>代码维护</x:v>
      </x:c>
      <x:c r="I41" s="12" t="str">
        <x:v>待讨论</x:v>
      </x:c>
      <x:c r="J41" s="12" t="str"/>
    </x:row>
    <x:row r="42" ht="48" customHeight="1">
      <x:c r="A42" s="11" t="str">
        <x:v>派生计算／仅计算记录</x:v>
      </x:c>
      <x:c r="B42" s="11" t="str">
        <x:v>公式表达式</x:v>
      </x:c>
      <x:c r="C42" s="11" t="str">
        <x:v>条件填写</x:v>
      </x:c>
      <x:c r="D42" s="11" t="str">
        <x:v>可读的计算关系</x:v>
      </x:c>
      <x:c r="E42" s="11" t="str">
        <x:v>R=Q_end/Q_reference×100%</x:v>
      </x:c>
      <x:c r="F42" s="11" t="str">
        <x:v>表达式文本</x:v>
      </x:c>
      <x:c r="G42" s="11" t="str">
        <x:v>让复核者理解算法</x:v>
      </x:c>
      <x:c r="H42" s="11" t="str">
        <x:v>代码维护</x:v>
      </x:c>
      <x:c r="I42" s="12" t="str">
        <x:v>待讨论</x:v>
      </x:c>
      <x:c r="J42" s="12" t="str"/>
    </x:row>
    <x:row r="43" ht="48" customHeight="1">
      <x:c r="A43" s="10" t="str">
        <x:v>派生计算／仅计算记录</x:v>
      </x:c>
      <x:c r="B43" s="10" t="str">
        <x:v>输入观测ID</x:v>
      </x:c>
      <x:c r="C43" s="10" t="str">
        <x:v>条件填写</x:v>
      </x:c>
      <x:c r="D43" s="10" t="str">
        <x:v>该计算使用的全部原始观测</x:v>
      </x:c>
      <x:c r="E43" s="10" t="str">
        <x:v>O-A100、O-A005</x:v>
      </x:c>
      <x:c r="F43" s="10" t="str">
        <x:v>ID列表</x:v>
      </x:c>
      <x:c r="G43" s="10" t="str">
        <x:v>追溯数值来源</x:v>
      </x:c>
      <x:c r="H43" s="10" t="str">
        <x:v>代码生成</x:v>
      </x:c>
      <x:c r="I43" s="12" t="str">
        <x:v>待讨论</x:v>
      </x:c>
      <x:c r="J43" s="12" t="str"/>
    </x:row>
    <x:row r="44" ht="48" customHeight="1">
      <x:c r="A44" s="11" t="str">
        <x:v>派生计算／仅计算记录</x:v>
      </x:c>
      <x:c r="B44" s="11" t="str">
        <x:v>假设／继承限制</x:v>
      </x:c>
      <x:c r="C44" s="11" t="str">
        <x:v>条件填写</x:v>
      </x:c>
      <x:c r="D44" s="11" t="str">
        <x:v>计算采用的假设和输入缺陷</x:v>
      </x:c>
      <x:c r="E44" s="11" t="str">
        <x:v>密度未知，因此不转换质量E/S</x:v>
      </x:c>
      <x:c r="F44" s="11" t="str">
        <x:v>文本</x:v>
      </x:c>
      <x:c r="G44" s="11" t="str">
        <x:v>防止计算提高证据等级</x:v>
      </x:c>
      <x:c r="H44" s="11" t="str">
        <x:v>适用时保留</x:v>
      </x:c>
      <x:c r="I44" s="12" t="str">
        <x:v>待讨论</x:v>
      </x:c>
      <x:c r="J44" s="12" t="str"/>
    </x:row>
    <x:row r="45" ht="48" customHeight="1">
      <x:c r="A45" s="10" t="str">
        <x:v>模拟协议／仅模拟记录</x:v>
      </x:c>
      <x:c r="B45" s="10" t="str">
        <x:v>组成与分子数</x:v>
      </x:c>
      <x:c r="C45" s="10" t="str">
        <x:v>条件填写</x:v>
      </x:c>
      <x:c r="D45" s="10" t="str">
        <x:v>模拟盒子实际组成</x:v>
      </x:c>
      <x:c r="E45" s="10" t="str">
        <x:v>100 LiTFSI＋1000 DME（虚构）</x:v>
      </x:c>
      <x:c r="F45" s="10" t="str">
        <x:v>组分＋个数</x:v>
      </x:c>
      <x:c r="G45" s="10" t="str">
        <x:v>识别模型与实物差异</x:v>
      </x:c>
      <x:c r="H45" s="10" t="str">
        <x:v>仅模拟记录；不全库补算</x:v>
      </x:c>
      <x:c r="I45" s="12" t="str">
        <x:v>待讨论</x:v>
      </x:c>
      <x:c r="J45" s="12" t="str"/>
    </x:row>
    <x:row r="46" ht="48" customHeight="1">
      <x:c r="A46" s="11" t="str">
        <x:v>模拟协议／仅模拟记录</x:v>
      </x:c>
      <x:c r="B46" s="11" t="str">
        <x:v>力场／电子结构方法</x:v>
      </x:c>
      <x:c r="C46" s="11" t="str">
        <x:v>条件填写</x:v>
      </x:c>
      <x:c r="D46" s="11" t="str">
        <x:v>MD力场或DFT方法等</x:v>
      </x:c>
      <x:c r="E46" s="11" t="str">
        <x:v>采用文献指定力场，版本需原文核实</x:v>
      </x:c>
      <x:c r="F46" s="11" t="str">
        <x:v>文本</x:v>
      </x:c>
      <x:c r="G46" s="11" t="str">
        <x:v>支持模拟复现</x:v>
      </x:c>
      <x:c r="H46" s="11" t="str">
        <x:v>仅模拟记录</x:v>
      </x:c>
      <x:c r="I46" s="12" t="str">
        <x:v>待讨论</x:v>
      </x:c>
      <x:c r="J46" s="12" t="str"/>
    </x:row>
    <x:row r="47" ht="48" customHeight="1">
      <x:c r="A47" s="10" t="str">
        <x:v>模拟协议／仅模拟记录</x:v>
      </x:c>
      <x:c r="B47" s="10" t="str">
        <x:v>电荷模型</x:v>
      </x:c>
      <x:c r="C47" s="10" t="str">
        <x:v>条件填写</x:v>
      </x:c>
      <x:c r="D47" s="10" t="str">
        <x:v>电荷分配及是否缩放</x:v>
      </x:c>
      <x:c r="E47" s="10" t="str">
        <x:v>电荷缩放0.8（虚构）</x:v>
      </x:c>
      <x:c r="F47" s="10" t="str">
        <x:v>文本／系数</x:v>
      </x:c>
      <x:c r="G47" s="10" t="str">
        <x:v>说明模型假设</x:v>
      </x:c>
      <x:c r="H47" s="10" t="str">
        <x:v>仅模拟记录</x:v>
      </x:c>
      <x:c r="I47" s="12" t="str">
        <x:v>待讨论</x:v>
      </x:c>
      <x:c r="J47" s="12" t="str"/>
    </x:row>
    <x:row r="48" ht="48" customHeight="1">
      <x:c r="A48" s="11" t="str">
        <x:v>模拟协议／仅模拟记录</x:v>
      </x:c>
      <x:c r="B48" s="11" t="str">
        <x:v>系综／盒子／边界</x:v>
      </x:c>
      <x:c r="C48" s="11" t="str">
        <x:v>条件填写</x:v>
      </x:c>
      <x:c r="D48" s="11" t="str">
        <x:v>模拟统计系综、盒尺寸及边界</x:v>
      </x:c>
      <x:c r="E48" s="11" t="str">
        <x:v>NVT；5 nm立方盒；周期边界（虚构）</x:v>
      </x:c>
      <x:c r="F48" s="11" t="str">
        <x:v>文本</x:v>
      </x:c>
      <x:c r="G48" s="11" t="str">
        <x:v>说明模拟条件</x:v>
      </x:c>
      <x:c r="H48" s="11" t="str">
        <x:v>仅模拟记录</x:v>
      </x:c>
      <x:c r="I48" s="12" t="str">
        <x:v>待讨论</x:v>
      </x:c>
      <x:c r="J48" s="12" t="str"/>
    </x:row>
    <x:row r="49" ht="48" customHeight="1">
      <x:c r="A49" s="10" t="str">
        <x:v>模拟协议／仅模拟记录</x:v>
      </x:c>
      <x:c r="B49" s="10" t="str">
        <x:v>平衡与生产时长</x:v>
      </x:c>
      <x:c r="C49" s="10" t="str">
        <x:v>条件填写</x:v>
      </x:c>
      <x:c r="D49" s="10" t="str">
        <x:v>用于平衡及统计分析的时间</x:v>
      </x:c>
      <x:c r="E49" s="10" t="str">
        <x:v>平衡10 ns；生产50 ns（虚构）</x:v>
      </x:c>
      <x:c r="F49" s="10" t="str">
        <x:v>ns等</x:v>
      </x:c>
      <x:c r="G49" s="10" t="str">
        <x:v>判断采样是否充分</x:v>
      </x:c>
      <x:c r="H49" s="10" t="str">
        <x:v>仅模拟记录</x:v>
      </x:c>
      <x:c r="I49" s="12" t="str">
        <x:v>待讨论</x:v>
      </x:c>
      <x:c r="J49" s="12" t="str"/>
    </x:row>
    <x:row r="50" ht="48" customHeight="1">
      <x:c r="A50" s="11" t="str">
        <x:v>模拟协议／仅模拟记录</x:v>
      </x:c>
      <x:c r="B50" s="11" t="str">
        <x:v>模拟温度／压力</x:v>
      </x:c>
      <x:c r="C50" s="11" t="str">
        <x:v>条件填写</x:v>
      </x:c>
      <x:c r="D50" s="11" t="str">
        <x:v>模拟状态点</x:v>
      </x:c>
      <x:c r="E50" s="11" t="str">
        <x:v>298 K；1 bar（虚构）</x:v>
      </x:c>
      <x:c r="F50" s="11" t="str">
        <x:v>K／bar等</x:v>
      </x:c>
      <x:c r="G50" s="11" t="str">
        <x:v>链接物性条件</x:v>
      </x:c>
      <x:c r="H50" s="11" t="str">
        <x:v>复用测试条件字段</x:v>
      </x:c>
      <x:c r="I50" s="12" t="str">
        <x:v>待讨论</x:v>
      </x:c>
      <x:c r="J50" s="12" t="str"/>
    </x:row>
    <x:row r="51" ht="48" customHeight="1">
      <x:c r="A51" s="10" t="str">
        <x:v>模拟协议／仅模拟记录</x:v>
      </x:c>
      <x:c r="B51" s="10" t="str">
        <x:v>模拟重复／分析判据</x:v>
      </x:c>
      <x:c r="C51" s="10" t="str">
        <x:v>条件填写</x:v>
      </x:c>
      <x:c r="D51" s="10" t="str">
        <x:v>独立轨迹数和观测统计定义</x:v>
      </x:c>
      <x:c r="E51" s="10" t="str">
        <x:v>3条轨迹；Li–O积分至第一极小值</x:v>
      </x:c>
      <x:c r="F51" s="10" t="str">
        <x:v>个／文本</x:v>
      </x:c>
      <x:c r="G51" s="10" t="str">
        <x:v>控制可重复性</x:v>
      </x:c>
      <x:c r="H51" s="10" t="str">
        <x:v>复用重复数与判据字段</x:v>
      </x:c>
      <x:c r="I51" s="12" t="str">
        <x:v>待讨论</x:v>
      </x:c>
      <x:c r="J51" s="12" t="str"/>
    </x:row>
    <x:row r="52" ht="48" customHeight="1">
      <x:c r="A52" s="11" t="str">
        <x:v>模拟协议／仅模拟记录</x:v>
      </x:c>
      <x:c r="B52" s="11" t="str">
        <x:v>收敛与实验核验</x:v>
      </x:c>
      <x:c r="C52" s="11" t="str">
        <x:v>条件填写</x:v>
      </x:c>
      <x:c r="D52" s="11" t="str">
        <x:v>是否检查采样收敛和实验对照</x:v>
      </x:c>
      <x:c r="E52" s="11" t="str">
        <x:v>密度与实测对照；黏度未验证</x:v>
      </x:c>
      <x:c r="F52" s="11" t="str">
        <x:v>文本</x:v>
      </x:c>
      <x:c r="G52" s="11" t="str">
        <x:v>评价模型适用范围</x:v>
      </x:c>
      <x:c r="H52" s="11" t="str">
        <x:v>仅模拟记录</x:v>
      </x:c>
      <x:c r="I52" s="12" t="str">
        <x:v>待讨论</x:v>
      </x:c>
      <x:c r="J52" s="12" t="str"/>
    </x:row>
    <x:row r="53" ht="48" customHeight="1">
      <x:c r="A53" s="10" t="str">
        <x:v>论断／解释记录</x:v>
      </x:c>
      <x:c r="B53" s="10" t="str">
        <x:v>论断提出者</x:v>
      </x:c>
      <x:c r="C53" s="10" t="str">
        <x:v>P2</x:v>
      </x:c>
      <x:c r="D53" s="10" t="str">
        <x:v>作者解释还是本课题研究假设</x:v>
      </x:c>
      <x:c r="E53" s="10" t="str">
        <x:v>paper_author／researcher_hypothesis</x:v>
      </x:c>
      <x:c r="F53" s="10" t="str">
        <x:v>分类</x:v>
      </x:c>
      <x:c r="G53" s="10" t="str">
        <x:v>区分原文与研究者推断</x:v>
      </x:c>
      <x:c r="H53" s="10" t="str">
        <x:v>关键机制论文整理</x:v>
      </x:c>
      <x:c r="I53" s="12" t="str">
        <x:v>待讨论</x:v>
      </x:c>
      <x:c r="J53" s="12" t="str"/>
    </x:row>
    <x:row r="54" ht="48" customHeight="1">
      <x:c r="A54" s="11" t="str">
        <x:v>论断／解释记录</x:v>
      </x:c>
      <x:c r="B54" s="11" t="str">
        <x:v>论断内容</x:v>
      </x:c>
      <x:c r="C54" s="11" t="str">
        <x:v>P2</x:v>
      </x:c>
      <x:c r="D54" s="11" t="str">
        <x:v>具体机制解释的完整表述</x:v>
      </x:c>
      <x:c r="E54" s="11" t="str">
        <x:v>假设：循环衰减受电解液消耗限制</x:v>
      </x:c>
      <x:c r="F54" s="11" t="str">
        <x:v>文本</x:v>
      </x:c>
      <x:c r="G54" s="11" t="str">
        <x:v>保留待检验解释</x:v>
      </x:c>
      <x:c r="H54" s="11" t="str">
        <x:v>不写成已证实事实</x:v>
      </x:c>
      <x:c r="I54" s="12" t="str">
        <x:v>待讨论</x:v>
      </x:c>
      <x:c r="J54" s="12" t="str"/>
    </x:row>
    <x:row r="55" ht="48" customHeight="1">
      <x:c r="A55" s="10" t="str">
        <x:v>论断／解释记录</x:v>
      </x:c>
      <x:c r="B55" s="10" t="str">
        <x:v>论断适用范围</x:v>
      </x:c>
      <x:c r="C55" s="10" t="str">
        <x:v>P2</x:v>
      </x:c>
      <x:c r="D55" s="10" t="str">
        <x:v>适用的配方、条件与节点</x:v>
      </x:c>
      <x:c r="E55" s="10" t="str">
        <x:v>仅贫液5 µL/mg-S、100圈后</x:v>
      </x:c>
      <x:c r="F55" s="10" t="str">
        <x:v>文本</x:v>
      </x:c>
      <x:c r="G55" s="10" t="str">
        <x:v>限定解释外推范围</x:v>
      </x:c>
      <x:c r="H55" s="10" t="str">
        <x:v>与论断一起保留</x:v>
      </x:c>
      <x:c r="I55" s="12" t="str">
        <x:v>待讨论</x:v>
      </x:c>
      <x:c r="J55" s="12" t="str"/>
    </x:row>
    <x:row r="56" ht="48" customHeight="1">
      <x:c r="A56" s="11" t="str">
        <x:v>论断／解释记录</x:v>
      </x:c>
      <x:c r="B56" s="11" t="str">
        <x:v>支持观测ID</x:v>
      </x:c>
      <x:c r="C56" s="11" t="str">
        <x:v>P2</x:v>
      </x:c>
      <x:c r="D56" s="11" t="str">
        <x:v>支持该解释的测量结果</x:v>
      </x:c>
      <x:c r="E56" s="11" t="str">
        <x:v>残余溶剂O10、补液响应O11</x:v>
      </x:c>
      <x:c r="F56" s="11" t="str">
        <x:v>ID列表</x:v>
      </x:c>
      <x:c r="G56" s="11" t="str">
        <x:v>形成证据链</x:v>
      </x:c>
      <x:c r="H56" s="11" t="str">
        <x:v>与事实记录关联</x:v>
      </x:c>
      <x:c r="I56" s="12" t="str">
        <x:v>待讨论</x:v>
      </x:c>
      <x:c r="J56" s="12" t="str"/>
    </x:row>
    <x:row r="57" ht="48" customHeight="1">
      <x:c r="A57" s="10" t="str">
        <x:v>论断／解释记录</x:v>
      </x:c>
      <x:c r="B57" s="10" t="str">
        <x:v>反对观测ID</x:v>
      </x:c>
      <x:c r="C57" s="10" t="str">
        <x:v>P2</x:v>
      </x:c>
      <x:c r="D57" s="10" t="str">
        <x:v>与该解释不一致的观测</x:v>
      </x:c>
      <x:c r="E57" s="10" t="str">
        <x:v>O12：换锂后同样恢复</x:v>
      </x:c>
      <x:c r="F57" s="10" t="str">
        <x:v>ID列表</x:v>
      </x:c>
      <x:c r="G57" s="10" t="str">
        <x:v>保存竞争解释</x:v>
      </x:c>
      <x:c r="H57" s="10" t="str">
        <x:v>无证据不等于证伪或证实</x:v>
      </x:c>
      <x:c r="I57" s="12" t="str">
        <x:v>待讨论</x:v>
      </x:c>
      <x:c r="J57" s="12" t="str"/>
    </x:row>
    <x:row r="58" ht="48" customHeight="1">
      <x:c r="A58" s="11" t="str">
        <x:v>论断／解释记录</x:v>
      </x:c>
      <x:c r="B58" s="11" t="str">
        <x:v>仍缺的诊断</x:v>
      </x:c>
      <x:c r="C58" s="11" t="str">
        <x:v>P2</x:v>
      </x:c>
      <x:c r="D58" s="11" t="str">
        <x:v>尚缺哪些结果才能区分机制</x:v>
      </x:c>
      <x:c r="E58" s="11" t="str">
        <x:v>缺独立可用锂量和补液对照</x:v>
      </x:c>
      <x:c r="F58" s="11" t="str">
        <x:v>文本</x:v>
      </x:c>
      <x:c r="G58" s="11" t="str">
        <x:v>指导后续实验</x:v>
      </x:c>
      <x:c r="H58" s="11" t="str">
        <x:v>关键机制论文整理</x:v>
      </x:c>
      <x:c r="I58" s="12" t="str">
        <x:v>待讨论</x:v>
      </x:c>
      <x:c r="J58" s="12" t="str"/>
    </x:row>
  </x:sheetData>
  <x:dataValidations count="1">
    <x:dataValidation type="list" sqref="I7:I58">
      <x:formula1>"待讨论,保留,简化,后置,删除"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3e48ea67194f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28.75" hidden="0" customWidth="1"/>
    <x:col min="3" max="3" width="28.75" hidden="0" customWidth="1"/>
    <x:col min="4" max="4" width="26.25" hidden="0" customWidth="1"/>
    <x:col min="5" max="5" width="28.75" hidden="0" customWidth="1"/>
    <x:col min="6" max="6" width="50" hidden="0" customWidth="1"/>
  </x:cols>
  <x:sheetData>
    <x:row r="2">
      <x:c r="A2" s="1" t="str">
        <x:v>填写示例｜从字段到一条记录</x:v>
      </x:c>
    </x:row>
    <x:row r="3">
      <x:c r="A3" s="2" t="str">
        <x:v>A区为现有S39局部案例（AI辅助核对、非人工gold）；B/C区全部虚构，用于说明填写格式。</x:v>
      </x:c>
    </x:row>
    <x:row r="5">
      <x:c r="A5" s="13" t="str">
        <x:v>A. 同一论文的不同实际体系应分开</x:v>
      </x:c>
    </x:row>
    <x:row r="7" ht="32" customHeight="1">
      <x:c r="A7" s="9" t="str">
        <x:v>文献／用途</x:v>
      </x:c>
      <x:c r="B7" s="9" t="str">
        <x:v>主要组成</x:v>
      </x:c>
      <x:c r="C7" s="9" t="str">
        <x:v>盐／添加剂／LiPS差异</x:v>
      </x:c>
      <x:c r="D7" s="9" t="str">
        <x:v>测量对象</x:v>
      </x:c>
      <x:c r="E7" s="9" t="str">
        <x:v>数值或状态</x:v>
      </x:c>
      <x:c r="F7" s="9" t="str">
        <x:v>填写时需要注意</x:v>
      </x:c>
    </x:row>
    <x:row r="8" ht="48" customHeight="1">
      <x:c r="A8" s="10" t="str">
        <x:v>S39／溶解试验</x:v>
      </x:c>
      <x:c r="B8" s="10" t="str">
        <x:v>DOL/F4DEE=4:1 v/v</x:v>
      </x:c>
      <x:c r="C8" s="10" t="str">
        <x:v>不含支持盐的溶解体系</x:v>
      </x:c>
      <x:c r="D8" s="10" t="str">
        <x:v>Li₂S₆溶解度</x:v>
      </x:c>
      <x:c r="E8" s="10" t="n">
        <x:v>0.38</x:v>
      </x:c>
      <x:c r="F8" s="10" t="str">
        <x:v>mol/L；简化体系；不能写成完整电池电解液的实测值</x:v>
      </x:c>
    </x:row>
    <x:row r="9" ht="48" customHeight="1">
      <x:c r="A9" s="11" t="str">
        <x:v>S39／Li⁺表征</x:v>
      </x:c>
      <x:c r="B9" s="11" t="str">
        <x:v>DOL/F4DEE；1.0 M LiTFSI</x:v>
      </x:c>
      <x:c r="C9" s="11" t="str">
        <x:v>该制备未列LiNO₃</x:v>
      </x:c>
      <x:c r="D9" s="11" t="str">
        <x:v>Li⁺表征</x:v>
      </x:c>
      <x:c r="E9" s="11" t="str">
        <x:v>本页未展开</x:v>
      </x:c>
      <x:c r="F9" s="11" t="str">
        <x:v>与完整电池配方有差异；不自动沿用0.2 M LiNO₃</x:v>
      </x:c>
    </x:row>
    <x:row r="10" ht="48" customHeight="1">
      <x:c r="A10" s="10" t="str">
        <x:v>S39／Li–S电池</x:v>
      </x:c>
      <x:c r="B10" s="10" t="str">
        <x:v>DOL/F4DEE；1.0 M LiTFSI</x:v>
      </x:c>
      <x:c r="C10" s="10" t="str">
        <x:v>0.2 M LiNO₃</x:v>
      </x:c>
      <x:c r="D10" s="10" t="str">
        <x:v>容量与保持率</x:v>
      </x:c>
      <x:c r="E10" s="10" t="str">
        <x:v>本页未展开</x:v>
      </x:c>
      <x:c r="F10" s="10" t="str">
        <x:v>性能必须关联这套完整配方</x:v>
      </x:c>
    </x:row>
    <x:row r="11" ht="48" customHeight="1">
      <x:c r="A11" s="11" t="str">
        <x:v>S39／GITT</x:v>
      </x:c>
      <x:c r="B11" s="11" t="str">
        <x:v>1.0 M LiTFSI；0.1 M LiNO₃</x:v>
      </x:c>
      <x:c r="C11" s="11" t="str">
        <x:v>0.1 M名义Li₂S₆</x:v>
      </x:c>
      <x:c r="D11" s="11" t="str">
        <x:v>Li‖碳纸测试</x:v>
      </x:c>
      <x:c r="E11" s="11" t="str">
        <x:v>本页未展开</x:v>
      </x:c>
      <x:c r="F11" s="11" t="str">
        <x:v>独立配方和测试；不与硫碳全电池直接合并</x:v>
      </x:c>
    </x:row>
    <x:row r="13">
      <x:c r="A13" s="2" t="str">
        <x:v>来源：S39，DOI 10.1021/acsenergylett.5c02200；现有JSON引用正文Fig.1/Fig.5及SI§2。原文引句在该JSON中。</x:v>
      </x:c>
    </x:row>
    <x:row r="15">
      <x:c r="A15" s="13" t="str">
        <x:v>B. 同一指标的多取值点用多行保存（全部虚构）</x:v>
      </x:c>
    </x:row>
    <x:row r="17" ht="32" customHeight="1">
      <x:c r="A17" s="9" t="str">
        <x:v>观测ID</x:v>
      </x:c>
      <x:c r="B17" s="9" t="str">
        <x:v>配方／测试</x:v>
      </x:c>
      <x:c r="C17" s="9" t="str">
        <x:v>性质名称</x:v>
      </x:c>
      <x:c r="D17" s="9" t="str">
        <x:v>圈数</x:v>
      </x:c>
      <x:c r="E17" s="9" t="str">
        <x:v>数值</x:v>
      </x:c>
      <x:c r="F17" s="9" t="str">
        <x:v>单位／缺失说明</x:v>
      </x:c>
    </x:row>
    <x:row r="18" ht="48" customHeight="1">
      <x:c r="A18" s="10" t="str">
        <x:v>DEMO-O-A005</x:v>
      </x:c>
      <x:c r="B18" s="10" t="str">
        <x:v>A／T-A</x:v>
      </x:c>
      <x:c r="C18" s="10" t="str">
        <x:v>比容量</x:v>
      </x:c>
      <x:c r="D18" s="10" t="n">
        <x:v>5</x:v>
      </x:c>
      <x:c r="E18" s="12" t="n">
        <x:v>1000</x:v>
      </x:c>
      <x:c r="F18" s="10" t="str">
        <x:v>mAh/g-S；相同0.5 C协议</x:v>
      </x:c>
    </x:row>
    <x:row r="19" ht="48" customHeight="1">
      <x:c r="A19" s="11" t="str">
        <x:v>DEMO-O-A100</x:v>
      </x:c>
      <x:c r="B19" s="11" t="str">
        <x:v>A／T-A</x:v>
      </x:c>
      <x:c r="C19" s="11" t="str">
        <x:v>比容量</x:v>
      </x:c>
      <x:c r="D19" s="11" t="n">
        <x:v>100</x:v>
      </x:c>
      <x:c r="E19" s="12" t="n">
        <x:v>800</x:v>
      </x:c>
      <x:c r="F19" s="11" t="str">
        <x:v>mAh/g-S；与第5圈同测试系列</x:v>
      </x:c>
    </x:row>
    <x:row r="20" ht="48" customHeight="1">
      <x:c r="A20" s="10" t="str">
        <x:v>DEMO-O-B005</x:v>
      </x:c>
      <x:c r="B20" s="10" t="str">
        <x:v>B／T-B</x:v>
      </x:c>
      <x:c r="C20" s="10" t="str">
        <x:v>比容量</x:v>
      </x:c>
      <x:c r="D20" s="10" t="n">
        <x:v>5</x:v>
      </x:c>
      <x:c r="E20" s="12" t="n">
        <x:v>900</x:v>
      </x:c>
      <x:c r="F20" s="10" t="str">
        <x:v>mAh/g-S；与A条件匹配</x:v>
      </x:c>
    </x:row>
    <x:row r="21" ht="48" customHeight="1">
      <x:c r="A21" s="11" t="str">
        <x:v>DEMO-O-B100</x:v>
      </x:c>
      <x:c r="B21" s="11" t="str">
        <x:v>B／T-B</x:v>
      </x:c>
      <x:c r="C21" s="11" t="str">
        <x:v>比容量</x:v>
      </x:c>
      <x:c r="D21" s="11" t="n">
        <x:v>100</x:v>
      </x:c>
      <x:c r="E21" s="12" t="n">
        <x:v>810</x:v>
      </x:c>
      <x:c r="F21" s="11" t="str">
        <x:v>mAh/g-S；与第5圈同测试系列</x:v>
      </x:c>
    </x:row>
    <x:row r="22" ht="48" customHeight="1">
      <x:c r="A22" s="10" t="str">
        <x:v>DEMO-O-A-T</x:v>
      </x:c>
      <x:c r="B22" s="10" t="str">
        <x:v>A／T-A</x:v>
      </x:c>
      <x:c r="C22" s="10" t="str">
        <x:v>测试温度</x:v>
      </x:c>
      <x:c r="D22" s="10"/>
      <x:c r="E22" s="10"/>
      <x:c r="F22" s="10" t="str">
        <x:v>数值留空；missing_reason=not_reported_after_check</x:v>
      </x:c>
    </x:row>
    <x:row r="23" ht="48" customHeight="1">
      <x:c r="A23" s="11" t="str">
        <x:v>DEMO-O-A-VIS</x:v>
      </x:c>
      <x:c r="B23" s="11" t="str">
        <x:v>A／物性测试</x:v>
      </x:c>
      <x:c r="C23" s="11" t="str">
        <x:v>黏度</x:v>
      </x:c>
      <x:c r="D23" s="11"/>
      <x:c r="E23" s="11"/>
      <x:c r="F23" s="11" t="str">
        <x:v>数值留空；missing_reason=figure_only；仅图待提</x:v>
      </x:c>
    </x:row>
    <x:row r="25">
      <x:c r="A25" s="13" t="str">
        <x:v>C. 用观测计算保持率及E/S（全部虚构；可修改黄色输入）</x:v>
      </x:c>
    </x:row>
    <x:row r="27" ht="32" customHeight="1">
      <x:c r="A27" s="9" t="str">
        <x:v>计算项</x:v>
      </x:c>
      <x:c r="B27" s="9" t="str">
        <x:v>输入1</x:v>
      </x:c>
      <x:c r="C27" s="9" t="str">
        <x:v>输入2</x:v>
      </x:c>
      <x:c r="D27" s="9" t="str">
        <x:v>计算结果</x:v>
      </x:c>
      <x:c r="E27" s="9" t="str">
        <x:v>结果单位</x:v>
      </x:c>
      <x:c r="F27" s="9" t="str">
        <x:v>输入和含义</x:v>
      </x:c>
    </x:row>
    <x:row r="28" ht="48" customHeight="1">
      <x:c r="A28" s="10" t="str">
        <x:v>A容量保持率</x:v>
      </x:c>
      <x:c r="B28" s="10" t="n">
        <x:f>E18</x:f>
        <x:v>1000</x:v>
      </x:c>
      <x:c r="C28" s="10" t="n">
        <x:f>E19</x:f>
        <x:v>800</x:v>
      </x:c>
      <x:c r="D28" s="17" t="n">
        <x:f>C28/B28</x:f>
        <x:v>0.8</x:v>
      </x:c>
      <x:c r="E28" s="10" t="str">
        <x:v>%</x:v>
      </x:c>
      <x:c r="F28" s="10" t="str">
        <x:v>800/1000；基准为第5圈，终点为第100圈</x:v>
      </x:c>
    </x:row>
    <x:row r="29" ht="48" customHeight="1">
      <x:c r="A29" s="11" t="str">
        <x:v>B容量保持率</x:v>
      </x:c>
      <x:c r="B29" s="11" t="n">
        <x:f>E20</x:f>
        <x:v>900</x:v>
      </x:c>
      <x:c r="C29" s="11" t="n">
        <x:f>E21</x:f>
        <x:v>810</x:v>
      </x:c>
      <x:c r="D29" s="18" t="n">
        <x:f>C29/B29</x:f>
        <x:v>0.9</x:v>
      </x:c>
      <x:c r="E29" s="11" t="str">
        <x:v>%</x:v>
      </x:c>
      <x:c r="F29" s="11" t="str">
        <x:v>810/900；基准与A相同</x:v>
      </x:c>
    </x:row>
    <x:row r="30" ht="48" customHeight="1">
      <x:c r="A30" s="10" t="str">
        <x:v>E/S</x:v>
      </x:c>
      <x:c r="B30" s="12" t="n">
        <x:v>20</x:v>
      </x:c>
      <x:c r="C30" s="12" t="n">
        <x:v>4</x:v>
      </x:c>
      <x:c r="D30" s="19" t="n">
        <x:f>B30/C30</x:f>
        <x:v>5</x:v>
      </x:c>
      <x:c r="E30" s="10" t="str">
        <x:v>µL/mg-S</x:v>
      </x:c>
      <x:c r="F30" s="10" t="str">
        <x:v>输入1=加液量µL；输入2=硫质量mg；20/4=5</x:v>
      </x:c>
    </x:row>
    <x:row r="31" ht="48" customHeight="1">
      <x:c r="A31" s="11" t="str">
        <x:v>A初始容量相对B</x:v>
      </x:c>
      <x:c r="B31" s="11" t="n">
        <x:f>E18</x:f>
        <x:v>1000</x:v>
      </x:c>
      <x:c r="C31" s="11" t="n">
        <x:f>E20</x:f>
        <x:v>900</x:v>
      </x:c>
      <x:c r="D31" s="20" t="n">
        <x:f>B31/C31</x:f>
        <x:v>1.1111111111111112</x:v>
      </x:c>
      <x:c r="E31" s="11" t="str">
        <x:v>比值</x:v>
      </x:c>
      <x:c r="F31" s="11" t="str">
        <x:v>同条件第5圈容量比；高容量不自动代表高保持率</x:v>
      </x:c>
    </x:row>
    <x:row r="33">
      <x:c r="A33" s="2" t="str">
        <x:v>讨论示例：A第5圈容量较高，但到第100圈保持率更低；比较方向必须注明指标和节点。</x:v>
      </x:c>
    </x:row>
    <x:row r="35">
      <x:c r="A35" s="13" t="str">
        <x:v>D. 常见填法与需要保留的信息</x:v>
      </x:c>
    </x:row>
    <x:row r="37" ht="32" customHeight="1">
      <x:c r="A37" s="9" t="str">
        <x:v>场景</x:v>
      </x:c>
      <x:c r="B37" s="9" t="str">
        <x:v>数值格</x:v>
      </x:c>
      <x:c r="C37" s="9" t="str">
        <x:v>缺失／状态</x:v>
      </x:c>
      <x:c r="D37" s="9" t="str">
        <x:v>出处</x:v>
      </x:c>
      <x:c r="E37" s="9" t="str">
        <x:v>来源类别</x:v>
      </x:c>
      <x:c r="F37" s="9" t="str">
        <x:v>说明</x:v>
      </x:c>
    </x:row>
    <x:row r="38" ht="48" customHeight="1">
      <x:c r="A38" s="10" t="str">
        <x:v>原文未写温度</x:v>
      </x:c>
      <x:c r="B38" s="10"/>
      <x:c r="C38" s="10" t="str">
        <x:v>查后未报告</x:v>
      </x:c>
      <x:c r="D38" s="10" t="str">
        <x:v>正文及SI已查</x:v>
      </x:c>
      <x:c r="E38" s="10" t="str">
        <x:v>不可得</x:v>
      </x:c>
      <x:c r="F38" s="10" t="str">
        <x:v>不能默认填25°C</x:v>
      </x:c>
    </x:row>
    <x:row r="39" ht="48" customHeight="1">
      <x:c r="A39" s="11" t="str">
        <x:v>原文明确不加LiNO₃</x:v>
      </x:c>
      <x:c r="B39" s="11" t="n">
        <x:v>0</x:v>
      </x:c>
      <x:c r="C39" s="11" t="str">
        <x:v>明确不存在</x:v>
      </x:c>
      <x:c r="D39" s="11" t="str">
        <x:v>原句位置</x:v>
      </x:c>
      <x:c r="E39" s="11" t="str">
        <x:v>文献配方</x:v>
      </x:c>
      <x:c r="F39" s="11" t="str">
        <x:v>只有明确不加才可记录真实0</x:v>
      </x:c>
    </x:row>
    <x:row r="40" ht="48" customHeight="1">
      <x:c r="A40" s="10" t="str">
        <x:v>配方未列LiNO₃</x:v>
      </x:c>
      <x:c r="B40" s="10"/>
      <x:c r="C40" s="10" t="str">
        <x:v>配方未列出</x:v>
      </x:c>
      <x:c r="D40" s="10" t="str">
        <x:v>配方段落</x:v>
      </x:c>
      <x:c r="E40" s="10" t="str">
        <x:v>文献配方</x:v>
      </x:c>
      <x:c r="F40" s="10" t="str">
        <x:v>不等于已确认没有LiNO₃</x:v>
      </x:c>
    </x:row>
    <x:row r="41" ht="48" customHeight="1">
      <x:c r="A41" s="11" t="str">
        <x:v>图里有黏度曲线</x:v>
      </x:c>
      <x:c r="B41" s="11"/>
      <x:c r="C41" s="11" t="str">
        <x:v>仅图</x:v>
      </x:c>
      <x:c r="D41" s="11" t="str">
        <x:v>Fig.X（虚构）</x:v>
      </x:c>
      <x:c r="E41" s="11" t="str">
        <x:v>文献实测</x:v>
      </x:c>
      <x:c r="F41" s="11" t="str">
        <x:v>未读图前数值留空；以后读图需注明方法</x:v>
      </x:c>
    </x:row>
    <x:row r="42" ht="48" customHeight="1">
      <x:c r="A42" s="10" t="str">
        <x:v>论文MD给配位数</x:v>
      </x:c>
      <x:c r="B42" s="10" t="n">
        <x:v>3.2</x:v>
      </x:c>
      <x:c r="C42" s="10" t="str">
        <x:v>数值</x:v>
      </x:c>
      <x:c r="D42" s="10" t="str">
        <x:v>模拟方法及图表</x:v>
      </x:c>
      <x:c r="E42" s="10" t="str">
        <x:v>文献MD</x:v>
      </x:c>
      <x:c r="F42" s="10" t="str">
        <x:v>不能标为实验值；需要配位判据</x:v>
      </x:c>
    </x:row>
    <x:row r="43" ht="48" customHeight="1">
      <x:c r="A43" s="11" t="str">
        <x:v>由已知输入算E/S</x:v>
      </x:c>
      <x:c r="B43" s="11" t="n">
        <x:v>5</x:v>
      </x:c>
      <x:c r="C43" s="11" t="str">
        <x:v>公式派生</x:v>
      </x:c>
      <x:c r="D43" s="11" t="str">
        <x:v>输入观测ID</x:v>
      </x:c>
      <x:c r="E43" s="11" t="str">
        <x:v>本课题公式</x:v>
      </x:c>
      <x:c r="F43" s="11" t="str">
        <x:v>保留体积和硫质量输入，不能覆盖原始事实</x:v>
      </x:c>
    </x:row>
  </x:sheetData>
  <x:pageMargins left="0.7" right="0.7" top="0.75" bottom="0.75" header="0.3" footer="0.3"/>
  <x:tableParts count="4">
    <x:tablePart xmlns:r="http://schemas.openxmlformats.org/officeDocument/2006/relationships" r:id="Rab0bb7e9262245ef"/>
    <x:tablePart xmlns:r="http://schemas.openxmlformats.org/officeDocument/2006/relationships" r:id="R2f1d5dc616a6496e"/>
    <x:tablePart xmlns:r="http://schemas.openxmlformats.org/officeDocument/2006/relationships" r:id="R64e6a2b9e55e4a4e"/>
    <x:tablePart xmlns:r="http://schemas.openxmlformats.org/officeDocument/2006/relationships" r:id="Rd112c9eac11841d8"/>
  </x:tableParts>
</x:worksheet>
</file>